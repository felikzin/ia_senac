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59a7eb8c7e4ba00/"/>
    </mc:Choice>
  </mc:AlternateContent>
  <xr:revisionPtr revIDLastSave="192" documentId="11_098303CF1EA48109F6D68F4DD7E313BB146BF5B0" xr6:coauthVersionLast="47" xr6:coauthVersionMax="47" xr10:uidLastSave="{92D5DC10-E7E2-460E-86B8-36E196F33C64}"/>
  <bookViews>
    <workbookView xWindow="-120" yWindow="-120" windowWidth="29040" windowHeight="15720" activeTab="2" xr2:uid="{00000000-000D-0000-FFFF-FFFF00000000}"/>
  </bookViews>
  <sheets>
    <sheet name="MENU" sheetId="2" r:id="rId1"/>
    <sheet name="Financeiro" sheetId="1" r:id="rId2"/>
    <sheet name="Estoque" sheetId="3" r:id="rId3"/>
    <sheet name="Documentação" sheetId="4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2" l="1"/>
  <c r="F9" i="2"/>
  <c r="F4" i="2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5" i="3"/>
  <c r="F35" i="3" l="1"/>
  <c r="I6" i="1"/>
  <c r="H6" i="1"/>
  <c r="G6" i="1"/>
  <c r="E215" i="1"/>
  <c r="D35" i="3" l="1"/>
</calcChain>
</file>

<file path=xl/sharedStrings.xml><?xml version="1.0" encoding="utf-8"?>
<sst xmlns="http://schemas.openxmlformats.org/spreadsheetml/2006/main" count="373" uniqueCount="96">
  <si>
    <t>PAINÉIS E INDICADORES ADMINISTRATIVOS</t>
  </si>
  <si>
    <t>Faturamento Total</t>
  </si>
  <si>
    <t>Total de Itens em Estoque</t>
  </si>
  <si>
    <t>Documentos Pendentes</t>
  </si>
  <si>
    <t>Vendedor</t>
  </si>
  <si>
    <t>Vendas R$</t>
  </si>
  <si>
    <t>Almir</t>
  </si>
  <si>
    <t>jan</t>
  </si>
  <si>
    <t>fev</t>
  </si>
  <si>
    <t>mar</t>
  </si>
  <si>
    <t>abr</t>
  </si>
  <si>
    <t>mai</t>
  </si>
  <si>
    <t>jun</t>
  </si>
  <si>
    <t>jul</t>
  </si>
  <si>
    <t>Bruno</t>
  </si>
  <si>
    <t>Jefersson</t>
  </si>
  <si>
    <t>João</t>
  </si>
  <si>
    <t>Lucas</t>
  </si>
  <si>
    <t>Paulo</t>
  </si>
  <si>
    <t>Tiago</t>
  </si>
  <si>
    <t>Total Geral</t>
  </si>
  <si>
    <t>CONTROLE FINANCEIRO</t>
  </si>
  <si>
    <t>CONSULTAR NOTA FISCAL:</t>
  </si>
  <si>
    <t>Nota</t>
  </si>
  <si>
    <t>Emissão</t>
  </si>
  <si>
    <t>Valor</t>
  </si>
  <si>
    <t>Número da nota:</t>
  </si>
  <si>
    <t>Total geral:</t>
  </si>
  <si>
    <t>CONTROLE DE ESTOQUE</t>
  </si>
  <si>
    <t>Cód Produto</t>
  </si>
  <si>
    <t>Nome do Produto</t>
  </si>
  <si>
    <t>Quantidade</t>
  </si>
  <si>
    <t>Preço Unitário</t>
  </si>
  <si>
    <t>Valor Total</t>
  </si>
  <si>
    <t>Total Geral em Estoque</t>
  </si>
  <si>
    <t>CONTROLE DOCUMENTAL</t>
  </si>
  <si>
    <t>ID Doc</t>
  </si>
  <si>
    <t>Nome do Documento</t>
  </si>
  <si>
    <t>Tipo</t>
  </si>
  <si>
    <t>Data de Emissão</t>
  </si>
  <si>
    <t>Status</t>
  </si>
  <si>
    <t>Contrato de Prestação de Serviços</t>
  </si>
  <si>
    <t>Contrato</t>
  </si>
  <si>
    <t>Concluído</t>
  </si>
  <si>
    <t>Relatório de Auditoria Interna</t>
  </si>
  <si>
    <t>Relatório</t>
  </si>
  <si>
    <t>Pendente</t>
  </si>
  <si>
    <t>Política de Segurança da Informação</t>
  </si>
  <si>
    <t>Diretriz</t>
  </si>
  <si>
    <t>Termo de Confidencialidade (NDA)</t>
  </si>
  <si>
    <t>Rolamento de Esferas Blindado (DDU/2RS C3 High-Speed)</t>
  </si>
  <si>
    <t>Biela Forjada do Motor (Aço 4340 H-Beam)</t>
  </si>
  <si>
    <t>Virabrequim de Aço Forjado (Nitretado/Microfundido)</t>
  </si>
  <si>
    <t>Válvula de Admissão (Aço Inox com Haste Nitretada)</t>
  </si>
  <si>
    <t>Válvula de Escape (Liga Inconel para Alta Temperatura)</t>
  </si>
  <si>
    <t>Correia Dentada Sincronizadora (HNBR Reforçada com Kevlar)</t>
  </si>
  <si>
    <t>Correia de Acessórios Alternador (Poly-V Multi-Perfil)</t>
  </si>
  <si>
    <t>Jogo de Anéis de Segmento (Cromo-Níquel Alta Vedação)</t>
  </si>
  <si>
    <t>Bronzina de Biela (Tri-Metal Semi-Acabada - Par)</t>
  </si>
  <si>
    <t>Bronzina de Mancal (Tri-Metal Revestida - Par)</t>
  </si>
  <si>
    <t>Conjunto Diferencial Completo (Autoblocante LSD / Coroa e Pinhão Hipóide)</t>
  </si>
  <si>
    <t>Eixo Cardan Bi-Partido (Com Cruzeta Selada e Suporte Central)</t>
  </si>
  <si>
    <t>Rolamento Roda Dianteira (Duplo de Esferas Angular com ABS Integrado)</t>
  </si>
  <si>
    <t>Líquido de Arrefecimento Concentrado (Orgânico OAT / Motores Alumínio 1L)</t>
  </si>
  <si>
    <t>Vela de Ignição IridiumIX (Eletrodo Central 0.6mm / Alta Performance)</t>
  </si>
  <si>
    <t>Bobina de Ignição Individual (Tipo Copo / Pencil Coil High Voltage)</t>
  </si>
  <si>
    <t>Amortecedor Dianteiro Pressurizado (Gás-Nitrogênio / Dupla Ação)</t>
  </si>
  <si>
    <t>Disco de Freio Ventilado (Aço Carbono Perfurado / Ranhurado 300mm)</t>
  </si>
  <si>
    <t>Jogo de Pastilhas de Freio (Cerâmica Carbon-Metallic Low Dust)</t>
  </si>
  <si>
    <t>Kit de Embreagem Completo (Platô, Disco Orgânico Revestido e Atuador Hydro)</t>
  </si>
  <si>
    <t>Bomba d'Água do Motor (Rotor de Alumínio Inject-Molded)</t>
  </si>
  <si>
    <t>Bomba de Combustível de Alta Pressão (Injeção Direta GDI / 200 Bar)</t>
  </si>
  <si>
    <t>Sensor de Posição da Árvore de Cames (Hall Effect / Alta Precisão)</t>
  </si>
  <si>
    <t>Radiador de Água do Motor (Colmeia em Alumínio Brasado Brazing)</t>
  </si>
  <si>
    <t>Filtro de Óleo Lubrificante (Elemento Sintético de Alta Eficiência)</t>
  </si>
  <si>
    <t>Filtro de Ar do Motor (Elemento Filtrante de Papel Plissado Tratado)</t>
  </si>
  <si>
    <t>Junta do Cabeçote (Laminada Multi-Layer Steel - MLS)</t>
  </si>
  <si>
    <t>Pivô da Suspensão Dianteira (Esférico Selado com Coifa em Neoprene)</t>
  </si>
  <si>
    <t>Terminal de Direção (Rótula Pivotante / Tracionado Heavy Duty)</t>
  </si>
  <si>
    <t>Coxim do Motor Hidráulico (Com Absorvedor de Vibração AT)</t>
  </si>
  <si>
    <t>Recibo de Contracheque - Filial</t>
  </si>
  <si>
    <t>Folha de Pagamento</t>
  </si>
  <si>
    <t>Relação Geral de Contratos Vigentes</t>
  </si>
  <si>
    <t>Espelho de Ajuste de Ponto Eletrônico</t>
  </si>
  <si>
    <t>RH / Pessoal</t>
  </si>
  <si>
    <t>Escala de Trabalho em Feriados</t>
  </si>
  <si>
    <t>Escala e Programação de Férias</t>
  </si>
  <si>
    <t>Comprovante de Recolhimento do FGTS</t>
  </si>
  <si>
    <t>Financeiro</t>
  </si>
  <si>
    <t>Atestados de Saúde Ocupacional (ASO)</t>
  </si>
  <si>
    <t>Segurança do Trabalho</t>
  </si>
  <si>
    <t>Termo de Entrega de EPIs</t>
  </si>
  <si>
    <t>Relatório de Horas Extraordinárias</t>
  </si>
  <si>
    <t>Aditivo Contratual de Fornecedores</t>
  </si>
  <si>
    <t>Guia de INSS e Encargos Sociais</t>
  </si>
  <si>
    <t>ideia: inserir fotos dos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</si>
</sst>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\R\$\ #,##0.00"/>
    <numFmt numFmtId="165" formatCode="&quot;NF-&quot;0000"/>
    <numFmt numFmtId="166" formatCode="&quot;DOC-&quot;00"/>
    <numFmt numFmtId="167" formatCode="&quot;P&quot;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B4C6F"/>
      <name val="Arial"/>
      <family val="2"/>
    </font>
    <font>
      <b/>
      <sz val="13"/>
      <color rgb="FF2B4C6F"/>
      <name val="Arial"/>
      <family val="2"/>
    </font>
    <font>
      <sz val="11"/>
      <color theme="2" tint="-0.8999908444471571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sz val="11"/>
      <color theme="2" tint="-0.749992370372631"/>
      <name val="Arial"/>
      <family val="2"/>
    </font>
    <font>
      <i/>
      <sz val="11"/>
      <color rgb="FF555555"/>
      <name val="Arial"/>
      <family val="2"/>
    </font>
    <font>
      <b/>
      <sz val="24"/>
      <color rgb="FF2B4C6F"/>
      <name val="Arial"/>
      <family val="2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04C6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F0F4F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04C6F"/>
        <bgColor rgb="FF2B4C6F"/>
      </patternFill>
    </fill>
  </fills>
  <borders count="2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double">
        <color theme="4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4" tint="-0.24994659260841701"/>
      </bottom>
      <diagonal/>
    </border>
    <border>
      <left/>
      <right/>
      <top style="thin">
        <color theme="2" tint="-9.9948118533890809E-2"/>
      </top>
      <bottom style="double">
        <color theme="4" tint="-0.24994659260841701"/>
      </bottom>
      <diagonal/>
    </border>
    <border>
      <left/>
      <right/>
      <top style="thin">
        <color rgb="FFD1D5DB"/>
      </top>
      <bottom style="double">
        <color rgb="FF2B4C6F"/>
      </bottom>
      <diagonal/>
    </border>
    <border>
      <left style="medium">
        <color theme="2" tint="-9.9887081514938816E-2"/>
      </left>
      <right style="medium">
        <color theme="2" tint="-9.9887081514938816E-2"/>
      </right>
      <top style="medium">
        <color theme="2" tint="-9.9887081514938816E-2"/>
      </top>
      <bottom style="medium">
        <color theme="2" tint="-9.9887081514938816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thin">
        <color theme="2" tint="-9.985656300546282E-2"/>
      </top>
      <bottom style="medium">
        <color theme="2" tint="-9.9887081514938816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medium">
        <color theme="2" tint="-9.9887081514938816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thin">
        <color theme="2" tint="-9.985656300546282E-2"/>
      </top>
      <bottom style="medium">
        <color theme="2" tint="-9.9887081514938816E-2"/>
      </bottom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4" fontId="4" fillId="0" borderId="5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44" fontId="8" fillId="3" borderId="4" xfId="1" applyFont="1" applyFill="1" applyBorder="1" applyAlignment="1">
      <alignment horizontal="center"/>
    </xf>
    <xf numFmtId="44" fontId="4" fillId="0" borderId="7" xfId="1" applyFont="1" applyFill="1" applyBorder="1" applyAlignment="1">
      <alignment horizontal="center"/>
    </xf>
    <xf numFmtId="165" fontId="4" fillId="0" borderId="6" xfId="0" applyNumberFormat="1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14" fontId="4" fillId="2" borderId="19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44" fontId="4" fillId="2" borderId="21" xfId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 vertical="center"/>
    </xf>
    <xf numFmtId="0" fontId="0" fillId="4" borderId="0" xfId="0" applyFill="1"/>
    <xf numFmtId="167" fontId="6" fillId="0" borderId="1" xfId="0" applyNumberFormat="1" applyFont="1" applyFill="1" applyBorder="1" applyAlignment="1">
      <alignment horizontal="left" vertical="top" wrapText="1"/>
    </xf>
    <xf numFmtId="0" fontId="0" fillId="7" borderId="0" xfId="0" applyFill="1"/>
    <xf numFmtId="0" fontId="4" fillId="7" borderId="0" xfId="0" applyFont="1" applyFill="1" applyAlignment="1">
      <alignment horizontal="center"/>
    </xf>
    <xf numFmtId="44" fontId="4" fillId="7" borderId="0" xfId="1" applyFont="1" applyFill="1" applyAlignment="1">
      <alignment horizontal="center"/>
    </xf>
    <xf numFmtId="0" fontId="0" fillId="7" borderId="0" xfId="0" applyFill="1" applyBorder="1"/>
    <xf numFmtId="0" fontId="4" fillId="7" borderId="0" xfId="0" applyFont="1" applyFill="1" applyBorder="1" applyAlignment="1">
      <alignment horizontal="center"/>
    </xf>
    <xf numFmtId="44" fontId="4" fillId="7" borderId="0" xfId="1" applyFont="1" applyFill="1" applyBorder="1" applyAlignment="1">
      <alignment horizontal="center"/>
    </xf>
    <xf numFmtId="0" fontId="7" fillId="7" borderId="9" xfId="0" applyFont="1" applyFill="1" applyBorder="1" applyAlignment="1">
      <alignment horizontal="right" vertical="center"/>
    </xf>
    <xf numFmtId="44" fontId="7" fillId="7" borderId="11" xfId="1" applyFont="1" applyFill="1" applyBorder="1" applyAlignment="1">
      <alignment horizontal="right" vertical="center"/>
    </xf>
    <xf numFmtId="0" fontId="9" fillId="8" borderId="13" xfId="0" applyFont="1" applyFill="1" applyBorder="1"/>
    <xf numFmtId="0" fontId="0" fillId="9" borderId="0" xfId="0" applyFill="1"/>
    <xf numFmtId="167" fontId="0" fillId="9" borderId="0" xfId="0" applyNumberFormat="1" applyFill="1"/>
    <xf numFmtId="0" fontId="7" fillId="0" borderId="11" xfId="0" applyFont="1" applyFill="1" applyBorder="1" applyAlignment="1">
      <alignment horizontal="right" vertical="center"/>
    </xf>
    <xf numFmtId="164" fontId="7" fillId="0" borderId="1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top" wrapText="1"/>
    </xf>
    <xf numFmtId="0" fontId="0" fillId="10" borderId="0" xfId="0" applyFill="1"/>
    <xf numFmtId="0" fontId="5" fillId="11" borderId="0" xfId="0" applyFont="1" applyFill="1" applyAlignment="1">
      <alignment horizontal="center" vertical="center"/>
    </xf>
    <xf numFmtId="0" fontId="0" fillId="0" borderId="11" xfId="0" applyFill="1" applyBorder="1"/>
    <xf numFmtId="0" fontId="12" fillId="3" borderId="0" xfId="0" applyFont="1" applyFill="1"/>
    <xf numFmtId="0" fontId="13" fillId="0" borderId="0" xfId="0" applyFont="1" applyAlignment="1">
      <alignment horizontal="left"/>
    </xf>
    <xf numFmtId="0" fontId="13" fillId="0" borderId="0" xfId="0" applyNumberFormat="1" applyFont="1"/>
    <xf numFmtId="0" fontId="13" fillId="0" borderId="0" xfId="0" applyFont="1" applyAlignment="1">
      <alignment horizontal="left" indent="1"/>
    </xf>
    <xf numFmtId="0" fontId="13" fillId="6" borderId="0" xfId="0" applyFont="1" applyFill="1" applyAlignment="1">
      <alignment horizontal="left"/>
    </xf>
    <xf numFmtId="0" fontId="13" fillId="6" borderId="0" xfId="0" applyNumberFormat="1" applyFont="1" applyFill="1"/>
    <xf numFmtId="14" fontId="6" fillId="0" borderId="1" xfId="0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3" fontId="11" fillId="5" borderId="22" xfId="0" applyNumberFormat="1" applyFont="1" applyFill="1" applyBorder="1" applyAlignment="1">
      <alignment horizontal="center" vertical="center"/>
    </xf>
    <xf numFmtId="3" fontId="11" fillId="5" borderId="0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164" fontId="11" fillId="5" borderId="22" xfId="0" applyNumberFormat="1" applyFont="1" applyFill="1" applyBorder="1" applyAlignment="1">
      <alignment horizontal="center" vertical="center"/>
    </xf>
    <xf numFmtId="164" fontId="11" fillId="5" borderId="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2" fillId="7" borderId="0" xfId="0" applyFont="1" applyFill="1" applyAlignment="1">
      <alignment horizontal="left" vertical="center"/>
    </xf>
    <xf numFmtId="165" fontId="9" fillId="8" borderId="14" xfId="0" applyNumberFormat="1" applyFont="1" applyFill="1" applyBorder="1" applyAlignment="1">
      <alignment horizontal="center"/>
    </xf>
    <xf numFmtId="165" fontId="9" fillId="8" borderId="15" xfId="0" applyNumberFormat="1" applyFont="1" applyFill="1" applyBorder="1" applyAlignment="1">
      <alignment horizontal="center"/>
    </xf>
    <xf numFmtId="0" fontId="2" fillId="8" borderId="12" xfId="0" applyFont="1" applyFill="1" applyBorder="1" applyAlignment="1">
      <alignment horizontal="left" vertical="center"/>
    </xf>
    <xf numFmtId="0" fontId="7" fillId="0" borderId="11" xfId="0" applyFont="1" applyFill="1" applyBorder="1" applyAlignment="1"/>
    <xf numFmtId="0" fontId="0" fillId="0" borderId="11" xfId="0" applyFill="1" applyBorder="1" applyAlignment="1"/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14" fillId="9" borderId="0" xfId="0" applyFont="1" applyFill="1"/>
  </cellXfs>
  <cellStyles count="2">
    <cellStyle name="Moeda" xfId="1" builtinId="4"/>
    <cellStyle name="Normal" xfId="0" builtinId="0"/>
  </cellStyles>
  <dxfs count="48">
    <dxf>
      <numFmt numFmtId="167" formatCode="&quot;P&quot;0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right style="thin">
          <color rgb="FFD1D5DB"/>
        </right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D1D5DB"/>
        </left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rgb="FFD1D5DB"/>
        </left>
      </border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2B4C6F"/>
          <bgColor rgb="FF304C6F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304C6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numFmt numFmtId="165" formatCode="&quot;NF-&quot;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border>
        <top style="thin">
          <color theme="2" tint="-9.9948118533890809E-2"/>
        </top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theme="2" tint="-9.9948118533890809E-2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rgb="FF304C6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ill>
        <patternFill>
          <bgColor rgb="FF304C6F"/>
        </patternFill>
      </fill>
    </dxf>
    <dxf>
      <fill>
        <patternFill>
          <bgColor rgb="FF304C6F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304C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[projeto.xlsx]MENU!Tabela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MENU!$C$18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MENU!$B$19:$B$75</c:f>
              <c:multiLvlStrCache>
                <c:ptCount val="49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jan</c:v>
                  </c:pt>
                  <c:pt idx="8">
                    <c:v>fev</c:v>
                  </c:pt>
                  <c:pt idx="9">
                    <c:v>mar</c:v>
                  </c:pt>
                  <c:pt idx="10">
                    <c:v>abr</c:v>
                  </c:pt>
                  <c:pt idx="11">
                    <c:v>mai</c:v>
                  </c:pt>
                  <c:pt idx="12">
                    <c:v>jun</c:v>
                  </c:pt>
                  <c:pt idx="13">
                    <c:v>jul</c:v>
                  </c:pt>
                  <c:pt idx="14">
                    <c:v>jan</c:v>
                  </c:pt>
                  <c:pt idx="15">
                    <c:v>fev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mai</c:v>
                  </c:pt>
                  <c:pt idx="19">
                    <c:v>jun</c:v>
                  </c:pt>
                  <c:pt idx="20">
                    <c:v>jul</c:v>
                  </c:pt>
                  <c:pt idx="21">
                    <c:v>jan</c:v>
                  </c:pt>
                  <c:pt idx="22">
                    <c:v>fev</c:v>
                  </c:pt>
                  <c:pt idx="23">
                    <c:v>mar</c:v>
                  </c:pt>
                  <c:pt idx="24">
                    <c:v>abr</c:v>
                  </c:pt>
                  <c:pt idx="25">
                    <c:v>mai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jan</c:v>
                  </c:pt>
                  <c:pt idx="29">
                    <c:v>fev</c:v>
                  </c:pt>
                  <c:pt idx="30">
                    <c:v>mar</c:v>
                  </c:pt>
                  <c:pt idx="31">
                    <c:v>abr</c:v>
                  </c:pt>
                  <c:pt idx="32">
                    <c:v>mai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jan</c:v>
                  </c:pt>
                  <c:pt idx="36">
                    <c:v>fev</c:v>
                  </c:pt>
                  <c:pt idx="37">
                    <c:v>mar</c:v>
                  </c:pt>
                  <c:pt idx="38">
                    <c:v>abr</c:v>
                  </c:pt>
                  <c:pt idx="39">
                    <c:v>mai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jan</c:v>
                  </c:pt>
                  <c:pt idx="43">
                    <c:v>fev</c:v>
                  </c:pt>
                  <c:pt idx="44">
                    <c:v>mar</c:v>
                  </c:pt>
                  <c:pt idx="45">
                    <c:v>abr</c:v>
                  </c:pt>
                  <c:pt idx="46">
                    <c:v>mai</c:v>
                  </c:pt>
                  <c:pt idx="47">
                    <c:v>jun</c:v>
                  </c:pt>
                  <c:pt idx="48">
                    <c:v>jul</c:v>
                  </c:pt>
                </c:lvl>
                <c:lvl>
                  <c:pt idx="0">
                    <c:v>Almir</c:v>
                  </c:pt>
                  <c:pt idx="7">
                    <c:v>Bruno</c:v>
                  </c:pt>
                  <c:pt idx="14">
                    <c:v>Jefersson</c:v>
                  </c:pt>
                  <c:pt idx="21">
                    <c:v>João</c:v>
                  </c:pt>
                  <c:pt idx="28">
                    <c:v>Lucas</c:v>
                  </c:pt>
                  <c:pt idx="35">
                    <c:v>Paulo</c:v>
                  </c:pt>
                  <c:pt idx="42">
                    <c:v>Tiago</c:v>
                  </c:pt>
                </c:lvl>
              </c:multiLvlStrCache>
            </c:multiLvlStrRef>
          </c:cat>
          <c:val>
            <c:numRef>
              <c:f>MENU!$C$19:$C$75</c:f>
              <c:numCache>
                <c:formatCode>General</c:formatCode>
                <c:ptCount val="49"/>
                <c:pt idx="0">
                  <c:v>4470.3900000000003</c:v>
                </c:pt>
                <c:pt idx="1">
                  <c:v>2598.6800000000003</c:v>
                </c:pt>
                <c:pt idx="2">
                  <c:v>1524.77</c:v>
                </c:pt>
                <c:pt idx="3">
                  <c:v>1746.79</c:v>
                </c:pt>
                <c:pt idx="4">
                  <c:v>2725.1499999999996</c:v>
                </c:pt>
                <c:pt idx="5">
                  <c:v>865.75999999999988</c:v>
                </c:pt>
                <c:pt idx="6">
                  <c:v>863.74</c:v>
                </c:pt>
                <c:pt idx="7">
                  <c:v>1773.98</c:v>
                </c:pt>
                <c:pt idx="8">
                  <c:v>1518.91</c:v>
                </c:pt>
                <c:pt idx="9">
                  <c:v>3734.1000000000004</c:v>
                </c:pt>
                <c:pt idx="10">
                  <c:v>1398.5</c:v>
                </c:pt>
                <c:pt idx="11">
                  <c:v>2842.63</c:v>
                </c:pt>
                <c:pt idx="12">
                  <c:v>1370.79</c:v>
                </c:pt>
                <c:pt idx="13">
                  <c:v>675.91</c:v>
                </c:pt>
                <c:pt idx="14">
                  <c:v>1981.03</c:v>
                </c:pt>
                <c:pt idx="15">
                  <c:v>2049.94</c:v>
                </c:pt>
                <c:pt idx="16">
                  <c:v>1432.37</c:v>
                </c:pt>
                <c:pt idx="17">
                  <c:v>1429.26</c:v>
                </c:pt>
                <c:pt idx="18">
                  <c:v>1704.5</c:v>
                </c:pt>
                <c:pt idx="19">
                  <c:v>2088.35</c:v>
                </c:pt>
                <c:pt idx="20">
                  <c:v>987.32</c:v>
                </c:pt>
                <c:pt idx="21">
                  <c:v>1575.41</c:v>
                </c:pt>
                <c:pt idx="22">
                  <c:v>1357.24</c:v>
                </c:pt>
                <c:pt idx="23">
                  <c:v>2198.83</c:v>
                </c:pt>
                <c:pt idx="24">
                  <c:v>2840.26</c:v>
                </c:pt>
                <c:pt idx="25">
                  <c:v>4534.92</c:v>
                </c:pt>
                <c:pt idx="26">
                  <c:v>3777.9900000000002</c:v>
                </c:pt>
                <c:pt idx="27">
                  <c:v>808.08999999999992</c:v>
                </c:pt>
                <c:pt idx="28">
                  <c:v>600.39</c:v>
                </c:pt>
                <c:pt idx="29">
                  <c:v>2945.5299999999997</c:v>
                </c:pt>
                <c:pt idx="30">
                  <c:v>1943.87</c:v>
                </c:pt>
                <c:pt idx="31">
                  <c:v>3052.7799999999997</c:v>
                </c:pt>
                <c:pt idx="32">
                  <c:v>2779.28</c:v>
                </c:pt>
                <c:pt idx="33">
                  <c:v>4376.2699999999995</c:v>
                </c:pt>
                <c:pt idx="34">
                  <c:v>597.4</c:v>
                </c:pt>
                <c:pt idx="35">
                  <c:v>3835.59</c:v>
                </c:pt>
                <c:pt idx="36">
                  <c:v>488.62</c:v>
                </c:pt>
                <c:pt idx="37">
                  <c:v>2189.96</c:v>
                </c:pt>
                <c:pt idx="38">
                  <c:v>574.44000000000005</c:v>
                </c:pt>
                <c:pt idx="39">
                  <c:v>2234.7199999999998</c:v>
                </c:pt>
                <c:pt idx="40">
                  <c:v>1077.5</c:v>
                </c:pt>
                <c:pt idx="41">
                  <c:v>692.86</c:v>
                </c:pt>
                <c:pt idx="42">
                  <c:v>1324.33</c:v>
                </c:pt>
                <c:pt idx="43">
                  <c:v>1815.1799999999998</c:v>
                </c:pt>
                <c:pt idx="44">
                  <c:v>868.6400000000001</c:v>
                </c:pt>
                <c:pt idx="45">
                  <c:v>3603.62</c:v>
                </c:pt>
                <c:pt idx="46">
                  <c:v>3760.04</c:v>
                </c:pt>
                <c:pt idx="47">
                  <c:v>2604.17</c:v>
                </c:pt>
                <c:pt idx="48">
                  <c:v>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D-4AC8-8F9B-1EF828710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26894559"/>
        <c:axId val="227749215"/>
      </c:barChart>
      <c:catAx>
        <c:axId val="2268945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7749215"/>
        <c:crosses val="autoZero"/>
        <c:auto val="1"/>
        <c:lblAlgn val="ctr"/>
        <c:lblOffset val="100"/>
        <c:noMultiLvlLbl val="0"/>
      </c:catAx>
      <c:valAx>
        <c:axId val="2277492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89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Financeiro!A1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hyperlink" Target="#Documenta&#231;&#227;o!A1"/><Relationship Id="rId4" Type="http://schemas.openxmlformats.org/officeDocument/2006/relationships/hyperlink" Target="#Estoq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159426</xdr:colOff>
      <xdr:row>3</xdr:row>
      <xdr:rowOff>106395</xdr:rowOff>
    </xdr:from>
    <xdr:to>
      <xdr:col>4</xdr:col>
      <xdr:colOff>346262</xdr:colOff>
      <xdr:row>15</xdr:row>
      <xdr:rowOff>160804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7E42DF-935F-438F-92DC-40775466D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350767</xdr:colOff>
      <xdr:row>17</xdr:row>
      <xdr:rowOff>36699</xdr:rowOff>
    </xdr:from>
    <xdr:to>
      <xdr:col>8</xdr:col>
      <xdr:colOff>142876</xdr:colOff>
      <xdr:row>22</xdr:row>
      <xdr:rowOff>171450</xdr:rowOff>
    </xdr:to>
    <xdr:pic>
      <xdr:nvPicPr>
        <xdr:cNvPr id="5" name="Imagem 4" descr="Ficheiro:Senac logo.svg – Wikipédia, a enciclopédia livre">
          <a:extLst>
            <a:ext uri="{FF2B5EF4-FFF2-40B4-BE49-F238E27FC236}">
              <a16:creationId xmlns:a16="http://schemas.microsoft.com/office/drawing/2014/main" id="{87763E3E-2BCB-4582-8A45-6017E355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3592" y="2989449"/>
          <a:ext cx="1916184" cy="113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270508</xdr:colOff>
      <xdr:row>3</xdr:row>
      <xdr:rowOff>91440</xdr:rowOff>
    </xdr:from>
    <xdr:to>
      <xdr:col>11</xdr:col>
      <xdr:colOff>80009</xdr:colOff>
      <xdr:row>4</xdr:row>
      <xdr:rowOff>139065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155428" y="521970"/>
          <a:ext cx="2247901" cy="33337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1"/>
              </a:solidFill>
            </a:rPr>
            <a:t>CONFERIR FATURAMENTO</a:t>
          </a:r>
        </a:p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133895</xdr:colOff>
      <xdr:row>3</xdr:row>
      <xdr:rowOff>134983</xdr:rowOff>
    </xdr:from>
    <xdr:to>
      <xdr:col>10</xdr:col>
      <xdr:colOff>591095</xdr:colOff>
      <xdr:row>4</xdr:row>
      <xdr:rowOff>106408</xdr:rowOff>
    </xdr:to>
    <xdr:sp macro="" textlink="">
      <xdr:nvSpPr>
        <xdr:cNvPr id="6" name="Seta para a Direi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847615" y="565513"/>
          <a:ext cx="457200" cy="257175"/>
        </a:xfrm>
        <a:prstGeom prst="rightArrow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259081</xdr:colOff>
      <xdr:row>8</xdr:row>
      <xdr:rowOff>76200</xdr:rowOff>
    </xdr:from>
    <xdr:to>
      <xdr:col>10</xdr:col>
      <xdr:colOff>388621</xdr:colOff>
      <xdr:row>9</xdr:row>
      <xdr:rowOff>123825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144001" y="1367790"/>
          <a:ext cx="1958340" cy="3333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CONFERIR ESTOQUE</a:t>
          </a:r>
        </a:p>
        <a:p>
          <a:pPr algn="l"/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392430</xdr:colOff>
      <xdr:row>8</xdr:row>
      <xdr:rowOff>118110</xdr:rowOff>
    </xdr:from>
    <xdr:to>
      <xdr:col>10</xdr:col>
      <xdr:colOff>240030</xdr:colOff>
      <xdr:row>9</xdr:row>
      <xdr:rowOff>89535</xdr:rowOff>
    </xdr:to>
    <xdr:sp macro="" textlink="">
      <xdr:nvSpPr>
        <xdr:cNvPr id="9" name="Seta para a Direi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496550" y="1409700"/>
          <a:ext cx="457200" cy="257175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251460</xdr:colOff>
      <xdr:row>13</xdr:row>
      <xdr:rowOff>91440</xdr:rowOff>
    </xdr:from>
    <xdr:to>
      <xdr:col>11</xdr:col>
      <xdr:colOff>163830</xdr:colOff>
      <xdr:row>14</xdr:row>
      <xdr:rowOff>139065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136380" y="2244090"/>
          <a:ext cx="2350770" cy="3333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CONFERIR DOCUMENTAÇÃO</a:t>
          </a:r>
        </a:p>
        <a:p>
          <a:pPr algn="l"/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10</xdr:col>
      <xdr:colOff>224790</xdr:colOff>
      <xdr:row>13</xdr:row>
      <xdr:rowOff>137160</xdr:rowOff>
    </xdr:from>
    <xdr:to>
      <xdr:col>11</xdr:col>
      <xdr:colOff>72390</xdr:colOff>
      <xdr:row>14</xdr:row>
      <xdr:rowOff>108585</xdr:rowOff>
    </xdr:to>
    <xdr:sp macro="" textlink="">
      <xdr:nvSpPr>
        <xdr:cNvPr id="11" name="Seta para a Direit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938510" y="2289810"/>
          <a:ext cx="457200" cy="257175"/>
        </a:xfrm>
        <a:prstGeom prst="rightArrow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19.450690162033" createdVersion="6" refreshedVersion="6" minRefreshableVersion="3" recordCount="210" xr:uid="{00000000-000A-0000-FFFF-FFFF0C000000}">
  <cacheSource type="worksheet">
    <worksheetSource name="Caixa"/>
  </cacheSource>
  <cacheFields count="5">
    <cacheField name="Nota" numFmtId="165">
      <sharedItems containsSemiMixedTypes="0" containsString="0" containsNumber="1" containsInteger="1" minValue="1001" maxValue="1210"/>
    </cacheField>
    <cacheField name="Emissão" numFmtId="14">
      <sharedItems containsSemiMixedTypes="0" containsNonDate="0" containsDate="1" containsString="0" minDate="2026-01-01T00:00:00" maxDate="2026-07-10T00:00:00" count="131">
        <d v="2026-01-01T00:00:00"/>
        <d v="2026-01-02T00:00:00"/>
        <d v="2026-01-03T00:00:00"/>
        <d v="2026-01-05T00:00:00"/>
        <d v="2026-01-09T00:00:00"/>
        <d v="2026-01-11T00:00:00"/>
        <d v="2026-01-13T00:00:00"/>
        <d v="2026-01-14T00:00:00"/>
        <d v="2026-01-15T00:00:00"/>
        <d v="2026-01-16T00:00:00"/>
        <d v="2026-01-18T00:00:00"/>
        <d v="2026-01-19T00:00:00"/>
        <d v="2026-01-20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8T00:00:00"/>
        <d v="2026-02-09T00:00:00"/>
        <d v="2026-02-10T00:00:00"/>
        <d v="2026-02-11T00:00:00"/>
        <d v="2026-02-12T00:00:00"/>
        <d v="2026-02-13T00:00:00"/>
        <d v="2026-02-15T00:00:00"/>
        <d v="2026-02-16T00:00:00"/>
        <d v="2026-02-19T00:00:00"/>
        <d v="2026-02-20T00:00:00"/>
        <d v="2026-02-21T00:00:00"/>
        <d v="2026-02-24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9T00:00:00"/>
        <d v="2026-03-10T00:00:00"/>
        <d v="2026-03-11T00:00:00"/>
        <d v="2026-03-12T00:00:00"/>
        <d v="2026-03-14T00:00:00"/>
        <d v="2026-03-15T00:00:00"/>
        <d v="2026-03-16T00:00:00"/>
        <d v="2026-03-17T00:00:00"/>
        <d v="2026-03-18T00:00:00"/>
        <d v="2026-03-20T00:00:00"/>
        <d v="2026-03-22T00:00:00"/>
        <d v="2026-03-23T00:00:00"/>
        <d v="2026-03-28T00:00:00"/>
        <d v="2026-03-31T00:00:00"/>
        <d v="2026-04-03T00:00:00"/>
        <d v="2026-04-04T00:00:00"/>
        <d v="2026-04-05T00:00:00"/>
        <d v="2026-04-07T00:00:00"/>
        <d v="2026-04-08T00:00:00"/>
        <d v="2026-04-10T00:00:00"/>
        <d v="2026-04-12T00:00:00"/>
        <d v="2026-04-13T00:00:00"/>
        <d v="2026-04-15T00:00:00"/>
        <d v="2026-04-16T00:00:00"/>
        <d v="2026-04-17T00:00:00"/>
        <d v="2026-04-18T00:00:00"/>
        <d v="2026-04-19T00:00:00"/>
        <d v="2026-04-21T00:00:00"/>
        <d v="2026-04-22T00:00:00"/>
        <d v="2026-04-24T00:00:00"/>
        <d v="2026-04-25T00:00:00"/>
        <d v="2026-04-27T00:00:00"/>
        <d v="2026-04-28T00:00:00"/>
        <d v="2026-04-30T00:00:00"/>
        <d v="2026-05-01T00:00:00"/>
        <d v="2026-05-02T00:00:00"/>
        <d v="2026-05-03T00:00:00"/>
        <d v="2026-05-05T00:00:00"/>
        <d v="2026-05-06T00:00:00"/>
        <d v="2026-05-09T00:00:00"/>
        <d v="2026-05-10T00:00:00"/>
        <d v="2026-05-11T00:00:00"/>
        <d v="2026-05-12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4T00:00:00"/>
        <d v="2026-05-25T00:00:00"/>
        <d v="2026-05-26T00:00:00"/>
        <d v="2026-05-28T00:00:00"/>
        <d v="2026-05-29T00:00:00"/>
        <d v="2026-05-30T00:00:00"/>
        <d v="2026-05-31T00:00:00"/>
        <d v="2026-06-04T00:00:00"/>
        <d v="2026-06-05T00:00:00"/>
        <d v="2026-06-07T00:00:00"/>
        <d v="2026-06-08T00:00:00"/>
        <d v="2026-06-10T00:00:00"/>
        <d v="2026-06-11T00:00:00"/>
        <d v="2026-06-12T00:00:00"/>
        <d v="2026-06-13T00:00:00"/>
        <d v="2026-06-14T00:00:00"/>
        <d v="2026-06-15T00:00:00"/>
        <d v="2026-06-17T00:00:00"/>
        <d v="2026-06-18T00:00:00"/>
        <d v="2026-06-19T00:00:00"/>
        <d v="2026-06-20T00:00:00"/>
        <d v="2026-06-21T00:00:00"/>
        <d v="2026-06-23T00:00:00"/>
        <d v="2026-06-24T00:00:00"/>
        <d v="2026-06-25T00:00:00"/>
        <d v="2026-06-26T00:00:00"/>
        <d v="2026-06-28T00:00:00"/>
        <d v="2026-06-29T00:00:00"/>
        <d v="2026-06-30T00:00:00"/>
        <d v="2026-07-01T00:00:00"/>
        <d v="2026-07-03T00:00:00"/>
        <d v="2026-07-04T00:00:00"/>
        <d v="2026-07-05T00:00:00"/>
        <d v="2026-07-06T00:00:00"/>
        <d v="2026-07-07T00:00:00"/>
        <d v="2026-07-08T00:00:00"/>
        <d v="2026-07-09T00:00:00"/>
      </sharedItems>
      <fieldGroup par="4" base="1">
        <rangePr groupBy="days" startDate="2026-01-01T00:00:00" endDate="2026-07-10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0/07/2026"/>
        </groupItems>
      </fieldGroup>
    </cacheField>
    <cacheField name="Vendedor" numFmtId="0">
      <sharedItems count="7">
        <s v="Lucas"/>
        <s v="Almir"/>
        <s v="Jefersson"/>
        <s v="Paulo"/>
        <s v="Tiago"/>
        <s v="Bruno"/>
        <s v="João"/>
      </sharedItems>
    </cacheField>
    <cacheField name="Valor" numFmtId="44">
      <sharedItems containsSemiMixedTypes="0" containsString="0" containsNumber="1" minValue="50.39" maxValue="996.32"/>
    </cacheField>
    <cacheField name="Meses" numFmtId="0" databaseField="0">
      <fieldGroup base="1">
        <rangePr groupBy="months" startDate="2026-01-01T00:00:00" endDate="2026-07-10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0">
  <r>
    <n v="1056"/>
    <x v="0"/>
    <x v="0"/>
    <n v="357.95"/>
  </r>
  <r>
    <n v="1010"/>
    <x v="1"/>
    <x v="1"/>
    <n v="815.53"/>
  </r>
  <r>
    <n v="1188"/>
    <x v="1"/>
    <x v="1"/>
    <n v="867.42"/>
  </r>
  <r>
    <n v="1046"/>
    <x v="2"/>
    <x v="2"/>
    <n v="734.69"/>
  </r>
  <r>
    <n v="1057"/>
    <x v="3"/>
    <x v="3"/>
    <n v="932.64"/>
  </r>
  <r>
    <n v="1005"/>
    <x v="4"/>
    <x v="3"/>
    <n v="139.01"/>
  </r>
  <r>
    <n v="1073"/>
    <x v="4"/>
    <x v="1"/>
    <n v="363.91"/>
  </r>
  <r>
    <n v="1107"/>
    <x v="5"/>
    <x v="0"/>
    <n v="127.88"/>
  </r>
  <r>
    <n v="1137"/>
    <x v="5"/>
    <x v="4"/>
    <n v="249.57"/>
  </r>
  <r>
    <n v="1041"/>
    <x v="6"/>
    <x v="1"/>
    <n v="154.16999999999999"/>
  </r>
  <r>
    <n v="1081"/>
    <x v="7"/>
    <x v="2"/>
    <n v="670.78"/>
  </r>
  <r>
    <n v="1127"/>
    <x v="7"/>
    <x v="3"/>
    <n v="652.57000000000005"/>
  </r>
  <r>
    <n v="1031"/>
    <x v="8"/>
    <x v="5"/>
    <n v="830.71"/>
  </r>
  <r>
    <n v="1093"/>
    <x v="9"/>
    <x v="5"/>
    <n v="410.02"/>
  </r>
  <r>
    <n v="1020"/>
    <x v="10"/>
    <x v="3"/>
    <n v="678.2"/>
  </r>
  <r>
    <n v="1104"/>
    <x v="10"/>
    <x v="0"/>
    <n v="114.56"/>
  </r>
  <r>
    <n v="1152"/>
    <x v="10"/>
    <x v="1"/>
    <n v="315.17"/>
  </r>
  <r>
    <n v="1113"/>
    <x v="11"/>
    <x v="3"/>
    <n v="485.37"/>
  </r>
  <r>
    <n v="1184"/>
    <x v="11"/>
    <x v="6"/>
    <n v="443.72"/>
  </r>
  <r>
    <n v="1087"/>
    <x v="12"/>
    <x v="6"/>
    <n v="817.62"/>
  </r>
  <r>
    <n v="1090"/>
    <x v="13"/>
    <x v="1"/>
    <n v="856.26"/>
  </r>
  <r>
    <n v="1014"/>
    <x v="14"/>
    <x v="4"/>
    <n v="855.12"/>
  </r>
  <r>
    <n v="1022"/>
    <x v="15"/>
    <x v="6"/>
    <n v="314.07"/>
  </r>
  <r>
    <n v="1121"/>
    <x v="16"/>
    <x v="5"/>
    <n v="301.24"/>
  </r>
  <r>
    <n v="1052"/>
    <x v="17"/>
    <x v="1"/>
    <n v="644.04"/>
  </r>
  <r>
    <n v="1084"/>
    <x v="17"/>
    <x v="5"/>
    <n v="232.01"/>
  </r>
  <r>
    <n v="1122"/>
    <x v="17"/>
    <x v="2"/>
    <n v="575.55999999999995"/>
  </r>
  <r>
    <n v="1189"/>
    <x v="17"/>
    <x v="1"/>
    <n v="453.89"/>
  </r>
  <r>
    <n v="1132"/>
    <x v="18"/>
    <x v="3"/>
    <n v="947.8"/>
  </r>
  <r>
    <n v="1155"/>
    <x v="19"/>
    <x v="4"/>
    <n v="219.64"/>
  </r>
  <r>
    <n v="1129"/>
    <x v="20"/>
    <x v="2"/>
    <n v="980.81"/>
  </r>
  <r>
    <n v="1193"/>
    <x v="21"/>
    <x v="1"/>
    <n v="491.41"/>
  </r>
  <r>
    <n v="1040"/>
    <x v="22"/>
    <x v="0"/>
    <n v="518.84"/>
  </r>
  <r>
    <n v="1204"/>
    <x v="23"/>
    <x v="5"/>
    <n v="413.88"/>
  </r>
  <r>
    <n v="1012"/>
    <x v="24"/>
    <x v="5"/>
    <n v="959.35"/>
  </r>
  <r>
    <n v="1054"/>
    <x v="24"/>
    <x v="4"/>
    <n v="774.39"/>
  </r>
  <r>
    <n v="1205"/>
    <x v="24"/>
    <x v="2"/>
    <n v="253.26"/>
  </r>
  <r>
    <n v="1146"/>
    <x v="25"/>
    <x v="1"/>
    <n v="716.21"/>
  </r>
  <r>
    <n v="1028"/>
    <x v="26"/>
    <x v="6"/>
    <n v="410.48"/>
  </r>
  <r>
    <n v="1130"/>
    <x v="26"/>
    <x v="2"/>
    <n v="469.74"/>
  </r>
  <r>
    <n v="1063"/>
    <x v="27"/>
    <x v="4"/>
    <n v="551.29"/>
  </r>
  <r>
    <n v="1091"/>
    <x v="27"/>
    <x v="6"/>
    <n v="511.36"/>
  </r>
  <r>
    <n v="1027"/>
    <x v="28"/>
    <x v="0"/>
    <n v="742.67"/>
  </r>
  <r>
    <n v="1142"/>
    <x v="29"/>
    <x v="6"/>
    <n v="73.55"/>
  </r>
  <r>
    <n v="1190"/>
    <x v="29"/>
    <x v="1"/>
    <n v="960.07"/>
  </r>
  <r>
    <n v="1086"/>
    <x v="30"/>
    <x v="4"/>
    <n v="489.5"/>
  </r>
  <r>
    <n v="1151"/>
    <x v="31"/>
    <x v="6"/>
    <n v="361.85"/>
  </r>
  <r>
    <n v="1182"/>
    <x v="32"/>
    <x v="5"/>
    <n v="73.2"/>
  </r>
  <r>
    <n v="1066"/>
    <x v="33"/>
    <x v="2"/>
    <n v="346.13"/>
  </r>
  <r>
    <n v="1033"/>
    <x v="34"/>
    <x v="0"/>
    <n v="882.55"/>
  </r>
  <r>
    <n v="1092"/>
    <x v="34"/>
    <x v="1"/>
    <n v="430.99"/>
  </r>
  <r>
    <n v="1115"/>
    <x v="34"/>
    <x v="0"/>
    <n v="301.94"/>
  </r>
  <r>
    <n v="1177"/>
    <x v="34"/>
    <x v="0"/>
    <n v="499.53"/>
  </r>
  <r>
    <n v="1071"/>
    <x v="35"/>
    <x v="3"/>
    <n v="117.44"/>
  </r>
  <r>
    <n v="1069"/>
    <x v="36"/>
    <x v="3"/>
    <n v="371.18"/>
  </r>
  <r>
    <n v="1150"/>
    <x v="37"/>
    <x v="5"/>
    <n v="72.48"/>
  </r>
  <r>
    <n v="1006"/>
    <x v="38"/>
    <x v="0"/>
    <n v="621.91999999999996"/>
  </r>
  <r>
    <n v="1105"/>
    <x v="39"/>
    <x v="6"/>
    <n v="163.89"/>
  </r>
  <r>
    <n v="1141"/>
    <x v="39"/>
    <x v="1"/>
    <n v="204.38"/>
  </r>
  <r>
    <n v="1181"/>
    <x v="39"/>
    <x v="2"/>
    <n v="344.9"/>
  </r>
  <r>
    <n v="1077"/>
    <x v="40"/>
    <x v="1"/>
    <n v="499.32"/>
  </r>
  <r>
    <n v="1183"/>
    <x v="40"/>
    <x v="6"/>
    <n v="630.71"/>
  </r>
  <r>
    <n v="1187"/>
    <x v="40"/>
    <x v="5"/>
    <n v="673.26"/>
  </r>
  <r>
    <n v="1138"/>
    <x v="41"/>
    <x v="2"/>
    <n v="147.65"/>
  </r>
  <r>
    <n v="1192"/>
    <x v="41"/>
    <x v="1"/>
    <n v="165.29"/>
  </r>
  <r>
    <n v="1199"/>
    <x v="41"/>
    <x v="1"/>
    <n v="655.78"/>
  </r>
  <r>
    <n v="1036"/>
    <x v="42"/>
    <x v="5"/>
    <n v="284.3"/>
  </r>
  <r>
    <n v="1156"/>
    <x v="42"/>
    <x v="3"/>
    <n v="152.97999999999999"/>
  </r>
  <r>
    <n v="1025"/>
    <x v="43"/>
    <x v="2"/>
    <n v="939.82"/>
  </r>
  <r>
    <n v="1123"/>
    <x v="44"/>
    <x v="4"/>
    <n v="624.59"/>
  </r>
  <r>
    <n v="1002"/>
    <x v="45"/>
    <x v="5"/>
    <n v="262.05"/>
  </r>
  <r>
    <n v="1128"/>
    <x v="45"/>
    <x v="3"/>
    <n v="53.37"/>
  </r>
  <r>
    <n v="1201"/>
    <x v="45"/>
    <x v="6"/>
    <n v="123.61"/>
  </r>
  <r>
    <n v="1179"/>
    <x v="46"/>
    <x v="0"/>
    <n v="680.66"/>
  </r>
  <r>
    <n v="1174"/>
    <x v="47"/>
    <x v="5"/>
    <n v="458.39"/>
  </r>
  <r>
    <n v="1202"/>
    <x v="47"/>
    <x v="5"/>
    <n v="308.13"/>
  </r>
  <r>
    <n v="1021"/>
    <x v="48"/>
    <x v="3"/>
    <n v="862.55"/>
  </r>
  <r>
    <n v="1098"/>
    <x v="49"/>
    <x v="5"/>
    <n v="970.27"/>
  </r>
  <r>
    <n v="1169"/>
    <x v="49"/>
    <x v="0"/>
    <n v="170.92"/>
  </r>
  <r>
    <n v="1112"/>
    <x v="50"/>
    <x v="6"/>
    <n v="350.37"/>
  </r>
  <r>
    <n v="1167"/>
    <x v="50"/>
    <x v="0"/>
    <n v="343.82"/>
  </r>
  <r>
    <n v="1058"/>
    <x v="51"/>
    <x v="5"/>
    <n v="105.03"/>
  </r>
  <r>
    <n v="1032"/>
    <x v="52"/>
    <x v="6"/>
    <n v="304.35000000000002"/>
  </r>
  <r>
    <n v="1034"/>
    <x v="52"/>
    <x v="5"/>
    <n v="672.67"/>
  </r>
  <r>
    <n v="1100"/>
    <x v="52"/>
    <x v="3"/>
    <n v="97.64"/>
  </r>
  <r>
    <n v="1109"/>
    <x v="52"/>
    <x v="4"/>
    <n v="244.05"/>
  </r>
  <r>
    <n v="1158"/>
    <x v="52"/>
    <x v="6"/>
    <n v="625.9"/>
  </r>
  <r>
    <n v="1203"/>
    <x v="53"/>
    <x v="0"/>
    <n v="126.55"/>
  </r>
  <r>
    <n v="1013"/>
    <x v="54"/>
    <x v="3"/>
    <n v="138.11000000000001"/>
  </r>
  <r>
    <n v="1116"/>
    <x v="55"/>
    <x v="3"/>
    <n v="885.31"/>
  </r>
  <r>
    <n v="1019"/>
    <x v="56"/>
    <x v="0"/>
    <n v="232.67"/>
  </r>
  <r>
    <n v="1136"/>
    <x v="57"/>
    <x v="1"/>
    <n v="973.59"/>
  </r>
  <r>
    <n v="1164"/>
    <x v="57"/>
    <x v="6"/>
    <n v="116.48"/>
  </r>
  <r>
    <n v="1024"/>
    <x v="58"/>
    <x v="4"/>
    <n v="249.03"/>
  </r>
  <r>
    <n v="1117"/>
    <x v="58"/>
    <x v="4"/>
    <n v="199.86"/>
  </r>
  <r>
    <n v="1134"/>
    <x v="58"/>
    <x v="0"/>
    <n v="574.9"/>
  </r>
  <r>
    <n v="1017"/>
    <x v="59"/>
    <x v="3"/>
    <n v="574.44000000000005"/>
  </r>
  <r>
    <n v="1044"/>
    <x v="60"/>
    <x v="0"/>
    <n v="996.32"/>
  </r>
  <r>
    <n v="1147"/>
    <x v="60"/>
    <x v="1"/>
    <n v="86.79"/>
  </r>
  <r>
    <n v="1094"/>
    <x v="61"/>
    <x v="4"/>
    <n v="930.19"/>
  </r>
  <r>
    <n v="1035"/>
    <x v="62"/>
    <x v="2"/>
    <n v="485.91"/>
  </r>
  <r>
    <n v="1111"/>
    <x v="62"/>
    <x v="5"/>
    <n v="688.11"/>
  </r>
  <r>
    <n v="1039"/>
    <x v="63"/>
    <x v="4"/>
    <n v="258.35000000000002"/>
  </r>
  <r>
    <n v="1078"/>
    <x v="64"/>
    <x v="5"/>
    <n v="139.61000000000001"/>
  </r>
  <r>
    <n v="1168"/>
    <x v="64"/>
    <x v="4"/>
    <n v="432.28"/>
  </r>
  <r>
    <n v="1080"/>
    <x v="65"/>
    <x v="6"/>
    <n v="870.64"/>
  </r>
  <r>
    <n v="1144"/>
    <x v="65"/>
    <x v="1"/>
    <n v="686.41"/>
  </r>
  <r>
    <n v="1206"/>
    <x v="66"/>
    <x v="6"/>
    <n v="364.34"/>
  </r>
  <r>
    <n v="1170"/>
    <x v="67"/>
    <x v="2"/>
    <n v="943.35"/>
  </r>
  <r>
    <n v="1208"/>
    <x v="67"/>
    <x v="6"/>
    <n v="909.6"/>
  </r>
  <r>
    <n v="1043"/>
    <x v="68"/>
    <x v="0"/>
    <n v="110.35"/>
  </r>
  <r>
    <n v="1135"/>
    <x v="69"/>
    <x v="5"/>
    <n v="89.74"/>
  </r>
  <r>
    <n v="1049"/>
    <x v="70"/>
    <x v="5"/>
    <n v="481.04"/>
  </r>
  <r>
    <n v="1157"/>
    <x v="70"/>
    <x v="4"/>
    <n v="742.12"/>
  </r>
  <r>
    <n v="1195"/>
    <x v="71"/>
    <x v="0"/>
    <n v="824.26"/>
  </r>
  <r>
    <n v="1009"/>
    <x v="72"/>
    <x v="0"/>
    <n v="314.27999999999997"/>
  </r>
  <r>
    <n v="1095"/>
    <x v="73"/>
    <x v="4"/>
    <n v="451.86"/>
  </r>
  <r>
    <n v="1149"/>
    <x v="74"/>
    <x v="4"/>
    <n v="339.93"/>
  </r>
  <r>
    <n v="1176"/>
    <x v="75"/>
    <x v="6"/>
    <n v="470.05"/>
  </r>
  <r>
    <n v="1207"/>
    <x v="75"/>
    <x v="6"/>
    <n v="109.15"/>
  </r>
  <r>
    <n v="1148"/>
    <x v="76"/>
    <x v="5"/>
    <n v="239.59"/>
  </r>
  <r>
    <n v="1198"/>
    <x v="77"/>
    <x v="6"/>
    <n v="296.23"/>
  </r>
  <r>
    <n v="1101"/>
    <x v="78"/>
    <x v="0"/>
    <n v="923.42"/>
  </r>
  <r>
    <n v="1060"/>
    <x v="79"/>
    <x v="1"/>
    <n v="115.75"/>
  </r>
  <r>
    <n v="1075"/>
    <x v="79"/>
    <x v="5"/>
    <n v="562.27"/>
  </r>
  <r>
    <n v="1126"/>
    <x v="80"/>
    <x v="4"/>
    <n v="910.07"/>
  </r>
  <r>
    <n v="1051"/>
    <x v="81"/>
    <x v="1"/>
    <n v="219.72"/>
  </r>
  <r>
    <n v="1196"/>
    <x v="82"/>
    <x v="6"/>
    <n v="839.04"/>
  </r>
  <r>
    <n v="1103"/>
    <x v="83"/>
    <x v="3"/>
    <n v="858.78"/>
  </r>
  <r>
    <n v="1159"/>
    <x v="83"/>
    <x v="3"/>
    <n v="415.94"/>
  </r>
  <r>
    <n v="1074"/>
    <x v="84"/>
    <x v="5"/>
    <n v="314.55"/>
  </r>
  <r>
    <n v="1068"/>
    <x v="85"/>
    <x v="6"/>
    <n v="164.95"/>
  </r>
  <r>
    <n v="1191"/>
    <x v="85"/>
    <x v="6"/>
    <n v="97.71"/>
  </r>
  <r>
    <n v="1200"/>
    <x v="86"/>
    <x v="6"/>
    <n v="645.41"/>
  </r>
  <r>
    <n v="1045"/>
    <x v="87"/>
    <x v="4"/>
    <n v="972.52"/>
  </r>
  <r>
    <n v="1102"/>
    <x v="87"/>
    <x v="5"/>
    <n v="104.04"/>
  </r>
  <r>
    <n v="1194"/>
    <x v="87"/>
    <x v="0"/>
    <n v="615.67999999999995"/>
  </r>
  <r>
    <n v="1061"/>
    <x v="88"/>
    <x v="1"/>
    <n v="169.47"/>
  </r>
  <r>
    <n v="1085"/>
    <x v="89"/>
    <x v="6"/>
    <n v="183.17"/>
  </r>
  <r>
    <n v="1154"/>
    <x v="89"/>
    <x v="4"/>
    <n v="942.28"/>
  </r>
  <r>
    <n v="1162"/>
    <x v="89"/>
    <x v="2"/>
    <n v="733.46"/>
  </r>
  <r>
    <n v="1055"/>
    <x v="90"/>
    <x v="1"/>
    <n v="926.31"/>
  </r>
  <r>
    <n v="1065"/>
    <x v="90"/>
    <x v="1"/>
    <n v="743.43"/>
  </r>
  <r>
    <n v="1089"/>
    <x v="90"/>
    <x v="1"/>
    <n v="64.02"/>
  </r>
  <r>
    <n v="1004"/>
    <x v="91"/>
    <x v="3"/>
    <n v="610.97"/>
  </r>
  <r>
    <n v="1118"/>
    <x v="91"/>
    <x v="2"/>
    <n v="337.39"/>
  </r>
  <r>
    <n v="1088"/>
    <x v="92"/>
    <x v="3"/>
    <n v="98.06"/>
  </r>
  <r>
    <n v="1173"/>
    <x v="92"/>
    <x v="1"/>
    <n v="50.39"/>
  </r>
  <r>
    <n v="1197"/>
    <x v="92"/>
    <x v="6"/>
    <n v="902.35"/>
  </r>
  <r>
    <n v="1120"/>
    <x v="93"/>
    <x v="4"/>
    <n v="935.17"/>
  </r>
  <r>
    <n v="1007"/>
    <x v="94"/>
    <x v="5"/>
    <n v="730.22"/>
  </r>
  <r>
    <n v="1037"/>
    <x v="94"/>
    <x v="0"/>
    <n v="299.60000000000002"/>
  </r>
  <r>
    <n v="1139"/>
    <x v="94"/>
    <x v="1"/>
    <n v="436.06"/>
  </r>
  <r>
    <n v="1114"/>
    <x v="95"/>
    <x v="3"/>
    <n v="119.6"/>
  </r>
  <r>
    <n v="1059"/>
    <x v="96"/>
    <x v="3"/>
    <n v="131.37"/>
  </r>
  <r>
    <n v="1106"/>
    <x v="96"/>
    <x v="5"/>
    <n v="599.97"/>
  </r>
  <r>
    <n v="1160"/>
    <x v="97"/>
    <x v="5"/>
    <n v="291.99"/>
  </r>
  <r>
    <n v="1210"/>
    <x v="97"/>
    <x v="6"/>
    <n v="503.13"/>
  </r>
  <r>
    <n v="1099"/>
    <x v="98"/>
    <x v="2"/>
    <n v="565.09"/>
  </r>
  <r>
    <n v="1175"/>
    <x v="98"/>
    <x v="0"/>
    <n v="671.97"/>
  </r>
  <r>
    <n v="1038"/>
    <x v="99"/>
    <x v="6"/>
    <n v="902.93"/>
  </r>
  <r>
    <n v="1209"/>
    <x v="99"/>
    <x v="2"/>
    <n v="68.56"/>
  </r>
  <r>
    <n v="1070"/>
    <x v="100"/>
    <x v="0"/>
    <n v="268.61"/>
  </r>
  <r>
    <n v="1015"/>
    <x v="101"/>
    <x v="4"/>
    <n v="816.77"/>
  </r>
  <r>
    <n v="1064"/>
    <x v="102"/>
    <x v="6"/>
    <n v="966.14"/>
  </r>
  <r>
    <n v="1172"/>
    <x v="103"/>
    <x v="0"/>
    <n v="335.9"/>
  </r>
  <r>
    <n v="1140"/>
    <x v="104"/>
    <x v="2"/>
    <n v="196.83"/>
  </r>
  <r>
    <n v="1180"/>
    <x v="104"/>
    <x v="4"/>
    <n v="138.72"/>
  </r>
  <r>
    <n v="1018"/>
    <x v="105"/>
    <x v="0"/>
    <n v="891.18"/>
  </r>
  <r>
    <n v="1042"/>
    <x v="105"/>
    <x v="5"/>
    <n v="802.48"/>
  </r>
  <r>
    <n v="1072"/>
    <x v="106"/>
    <x v="3"/>
    <n v="267.49"/>
  </r>
  <r>
    <n v="1185"/>
    <x v="106"/>
    <x v="0"/>
    <n v="234.71"/>
  </r>
  <r>
    <n v="1023"/>
    <x v="107"/>
    <x v="1"/>
    <n v="396.59"/>
  </r>
  <r>
    <n v="1125"/>
    <x v="107"/>
    <x v="1"/>
    <n v="300.77999999999997"/>
  </r>
  <r>
    <n v="1001"/>
    <x v="108"/>
    <x v="3"/>
    <n v="73.760000000000005"/>
  </r>
  <r>
    <n v="1029"/>
    <x v="108"/>
    <x v="2"/>
    <n v="579.1"/>
  </r>
  <r>
    <n v="1053"/>
    <x v="108"/>
    <x v="0"/>
    <n v="628.52"/>
  </r>
  <r>
    <n v="1048"/>
    <x v="109"/>
    <x v="4"/>
    <n v="155.97"/>
  </r>
  <r>
    <n v="1153"/>
    <x v="109"/>
    <x v="0"/>
    <n v="429.69"/>
  </r>
  <r>
    <n v="1026"/>
    <x v="110"/>
    <x v="3"/>
    <n v="628.66999999999996"/>
  </r>
  <r>
    <n v="1082"/>
    <x v="110"/>
    <x v="3"/>
    <n v="107.58"/>
  </r>
  <r>
    <n v="1119"/>
    <x v="111"/>
    <x v="0"/>
    <n v="57.43"/>
  </r>
  <r>
    <n v="1062"/>
    <x v="112"/>
    <x v="6"/>
    <n v="949.51"/>
  </r>
  <r>
    <n v="1079"/>
    <x v="112"/>
    <x v="6"/>
    <n v="386.58"/>
  </r>
  <r>
    <n v="1108"/>
    <x v="112"/>
    <x v="0"/>
    <n v="586.97"/>
  </r>
  <r>
    <n v="1166"/>
    <x v="113"/>
    <x v="1"/>
    <n v="168.39"/>
  </r>
  <r>
    <n v="1165"/>
    <x v="114"/>
    <x v="4"/>
    <n v="642"/>
  </r>
  <r>
    <n v="1067"/>
    <x v="115"/>
    <x v="2"/>
    <n v="404.75"/>
  </r>
  <r>
    <n v="1171"/>
    <x v="116"/>
    <x v="2"/>
    <n v="907.67"/>
  </r>
  <r>
    <n v="1047"/>
    <x v="117"/>
    <x v="0"/>
    <n v="763.33"/>
  </r>
  <r>
    <n v="1030"/>
    <x v="118"/>
    <x v="4"/>
    <n v="850.71"/>
  </r>
  <r>
    <n v="1133"/>
    <x v="119"/>
    <x v="5"/>
    <n v="568.30999999999995"/>
  </r>
  <r>
    <n v="1011"/>
    <x v="120"/>
    <x v="6"/>
    <n v="373.24"/>
  </r>
  <r>
    <n v="1186"/>
    <x v="120"/>
    <x v="6"/>
    <n v="519.66"/>
  </r>
  <r>
    <n v="1008"/>
    <x v="121"/>
    <x v="0"/>
    <n v="448.54"/>
  </r>
  <r>
    <n v="1131"/>
    <x v="122"/>
    <x v="6"/>
    <n v="582.86"/>
  </r>
  <r>
    <n v="1161"/>
    <x v="123"/>
    <x v="6"/>
    <n v="51.61"/>
  </r>
  <r>
    <n v="1097"/>
    <x v="124"/>
    <x v="6"/>
    <n v="197.06"/>
  </r>
  <r>
    <n v="1110"/>
    <x v="124"/>
    <x v="4"/>
    <n v="276.75"/>
  </r>
  <r>
    <n v="1124"/>
    <x v="124"/>
    <x v="4"/>
    <n v="243.42"/>
  </r>
  <r>
    <n v="1050"/>
    <x v="125"/>
    <x v="2"/>
    <n v="300.22000000000003"/>
  </r>
  <r>
    <n v="1076"/>
    <x v="126"/>
    <x v="0"/>
    <n v="597.4"/>
  </r>
  <r>
    <n v="1016"/>
    <x v="127"/>
    <x v="6"/>
    <n v="559.41999999999996"/>
  </r>
  <r>
    <n v="1083"/>
    <x v="127"/>
    <x v="4"/>
    <n v="810.56"/>
  </r>
  <r>
    <n v="1096"/>
    <x v="128"/>
    <x v="1"/>
    <n v="577.98"/>
  </r>
  <r>
    <n v="1003"/>
    <x v="129"/>
    <x v="3"/>
    <n v="692.86"/>
  </r>
  <r>
    <n v="1143"/>
    <x v="129"/>
    <x v="4"/>
    <n v="793.27"/>
  </r>
  <r>
    <n v="1145"/>
    <x v="129"/>
    <x v="1"/>
    <n v="285.76"/>
  </r>
  <r>
    <n v="1178"/>
    <x v="129"/>
    <x v="5"/>
    <n v="675.91"/>
  </r>
  <r>
    <n v="1163"/>
    <x v="130"/>
    <x v="2"/>
    <n v="687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1" rowHeaderCaption="Vendedor">
  <location ref="B18:C75" firstHeaderRow="1" firstDataRow="1" firstDataCol="1"/>
  <pivotFields count="5">
    <pivotField numFmtId="165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x="1"/>
        <item x="5"/>
        <item x="2"/>
        <item x="6"/>
        <item x="0"/>
        <item x="3"/>
        <item x="4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2"/>
    <field x="4"/>
    <field x="1"/>
  </rowFields>
  <rowItems count="57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Vendas R$" fld="3" baseField="0" baseItem="0"/>
  </dataFields>
  <formats count="22"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3">
      <pivotArea field="2" type="button" dataOnly="0" labelOnly="1" outline="0" axis="axisRow" fieldPosition="0"/>
    </format>
    <format dxfId="42">
      <pivotArea dataOnly="0" labelOnly="1" outline="0" axis="axisValues" fieldPosition="0"/>
    </format>
    <format dxfId="41">
      <pivotArea field="2" type="button" dataOnly="0" labelOnly="1" outline="0" axis="axisRow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2" count="1" selected="0">
            <x v="0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32">
      <pivotArea dataOnly="0" labelOnly="1" fieldPosition="0">
        <references count="2">
          <reference field="2" count="1" selected="0">
            <x v="1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31">
      <pivotArea dataOnly="0" labelOnly="1" fieldPosition="0">
        <references count="2">
          <reference field="2" count="1" selected="0">
            <x v="2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30">
      <pivotArea dataOnly="0" labelOnly="1" fieldPosition="0">
        <references count="2">
          <reference field="2" count="1" selected="0">
            <x v="3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29">
      <pivotArea dataOnly="0" labelOnly="1" fieldPosition="0">
        <references count="2">
          <reference field="2" count="1" selected="0">
            <x v="4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28">
      <pivotArea dataOnly="0" labelOnly="1" fieldPosition="0">
        <references count="2">
          <reference field="2" count="1" selected="0">
            <x v="5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27">
      <pivotArea dataOnly="0" labelOnly="1" fieldPosition="0">
        <references count="2">
          <reference field="2" count="1" selected="0">
            <x v="6"/>
          </reference>
          <reference field="4" count="7">
            <x v="1"/>
            <x v="2"/>
            <x v="3"/>
            <x v="4"/>
            <x v="5"/>
            <x v="6"/>
            <x v="7"/>
          </reference>
        </references>
      </pivotArea>
    </format>
    <format dxfId="26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aixa" displayName="Caixa" ref="B4:E214" totalsRowShown="0" headerRowDxfId="25" dataDxfId="23" headerRowBorderDxfId="24" totalsRowBorderDxfId="22">
  <autoFilter ref="B4:E214" xr:uid="{00000000-0009-0000-0100-000004000000}"/>
  <sortState xmlns:xlrd2="http://schemas.microsoft.com/office/spreadsheetml/2017/richdata2" ref="B5:E214">
    <sortCondition ref="C4:C214"/>
  </sortState>
  <tableColumns count="4">
    <tableColumn id="2" xr3:uid="{00000000-0010-0000-0000-000002000000}" name="Nota" dataDxfId="21"/>
    <tableColumn id="5" xr3:uid="{00000000-0010-0000-0000-000005000000}" name="Emissão" dataDxfId="20"/>
    <tableColumn id="3" xr3:uid="{00000000-0010-0000-0000-000003000000}" name="Vendedor" dataDxfId="19"/>
    <tableColumn id="4" xr3:uid="{00000000-0010-0000-0000-000004000000}" name="Valor" dataDxfId="18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Produtos" displayName="Produtos" ref="B4:F34" totalsRowShown="0" headerRowDxfId="17" dataDxfId="16" tableBorderDxfId="15">
  <autoFilter ref="B4:F34" xr:uid="{00000000-0009-0000-0100-000005000000}"/>
  <sortState xmlns:xlrd2="http://schemas.microsoft.com/office/spreadsheetml/2017/richdata2" ref="B5:F34">
    <sortCondition ref="B4:B34"/>
  </sortState>
  <tableColumns count="5">
    <tableColumn id="1" xr3:uid="{00000000-0010-0000-0100-000001000000}" name="Cód Produto" dataDxfId="0"/>
    <tableColumn id="2" xr3:uid="{00000000-0010-0000-0100-000002000000}" name="Nome do Produto" dataDxfId="2"/>
    <tableColumn id="3" xr3:uid="{00000000-0010-0000-0100-000003000000}" name="Quantidade" dataDxfId="1"/>
    <tableColumn id="4" xr3:uid="{00000000-0010-0000-0100-000004000000}" name="Preço Unitário" dataDxfId="14"/>
    <tableColumn id="5" xr3:uid="{00000000-0010-0000-0100-000005000000}" name="Valor Total" dataDxfId="13">
      <calculatedColumnFormula>Produtos[[#This Row],[Preço Unitário]]*Produtos[[#This Row],[Quantidade]]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Documentações" displayName="Documentações" ref="B4:F19" totalsRowShown="0" headerRowDxfId="12" dataDxfId="11" tableBorderDxfId="10">
  <autoFilter ref="B4:F19" xr:uid="{00000000-0009-0000-0100-000006000000}"/>
  <tableColumns count="5">
    <tableColumn id="1" xr3:uid="{00000000-0010-0000-0200-000001000000}" name="ID Doc" dataDxfId="9"/>
    <tableColumn id="2" xr3:uid="{00000000-0010-0000-0200-000002000000}" name="Nome do Documento" dataDxfId="8"/>
    <tableColumn id="3" xr3:uid="{00000000-0010-0000-0200-000003000000}" name="Tipo" dataDxfId="7"/>
    <tableColumn id="4" xr3:uid="{00000000-0010-0000-0200-000004000000}" name="Data de Emissão" dataDxfId="6"/>
    <tableColumn id="5" xr3:uid="{00000000-0010-0000-0200-000005000000}" name="Status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5"/>
  <sheetViews>
    <sheetView showGridLines="0" zoomScale="115" zoomScaleNormal="115" workbookViewId="0">
      <selection activeCell="D33" sqref="D33"/>
    </sheetView>
  </sheetViews>
  <sheetFormatPr defaultRowHeight="15" x14ac:dyDescent="0.25"/>
  <cols>
    <col min="1" max="1" width="2.85546875" style="20" customWidth="1"/>
    <col min="2" max="2" width="18.42578125" style="20" customWidth="1"/>
    <col min="3" max="3" width="18" style="20" customWidth="1"/>
    <col min="4" max="4" width="34.28515625" style="20" customWidth="1"/>
    <col min="5" max="5" width="19.85546875" style="20" customWidth="1"/>
    <col min="6" max="6" width="22" style="20" customWidth="1"/>
    <col min="7" max="7" width="22.7109375" style="20" customWidth="1"/>
    <col min="8" max="16384" width="9.140625" style="20"/>
  </cols>
  <sheetData>
    <row r="2" spans="2:7" ht="7.5" customHeight="1" x14ac:dyDescent="0.25">
      <c r="B2" s="63" t="s">
        <v>0</v>
      </c>
      <c r="C2" s="63"/>
      <c r="D2" s="63"/>
      <c r="F2" s="46" t="s">
        <v>1</v>
      </c>
      <c r="G2" s="46"/>
    </row>
    <row r="3" spans="2:7" ht="11.25" customHeight="1" x14ac:dyDescent="0.25">
      <c r="B3" s="63"/>
      <c r="C3" s="63"/>
      <c r="D3" s="63"/>
      <c r="F3" s="47"/>
      <c r="G3" s="47"/>
    </row>
    <row r="4" spans="2:7" ht="22.5" customHeight="1" x14ac:dyDescent="0.25">
      <c r="B4" s="50"/>
      <c r="C4" s="50"/>
      <c r="F4" s="51">
        <f>SUM(Caixa[Valor])</f>
        <v>100364.8</v>
      </c>
      <c r="G4" s="51"/>
    </row>
    <row r="5" spans="2:7" ht="11.25" customHeight="1" x14ac:dyDescent="0.25">
      <c r="F5" s="52"/>
      <c r="G5" s="52"/>
    </row>
    <row r="7" spans="2:7" ht="7.5" customHeight="1" x14ac:dyDescent="0.25">
      <c r="F7" s="46" t="s">
        <v>2</v>
      </c>
      <c r="G7" s="46"/>
    </row>
    <row r="8" spans="2:7" ht="11.25" customHeight="1" x14ac:dyDescent="0.25">
      <c r="F8" s="47"/>
      <c r="G8" s="47"/>
    </row>
    <row r="9" spans="2:7" ht="22.5" customHeight="1" x14ac:dyDescent="0.25">
      <c r="F9" s="48">
        <f>SUM(Produtos[Quantidade])</f>
        <v>4190</v>
      </c>
      <c r="G9" s="48"/>
    </row>
    <row r="10" spans="2:7" ht="11.25" customHeight="1" x14ac:dyDescent="0.25">
      <c r="F10" s="49"/>
      <c r="G10" s="49"/>
    </row>
    <row r="12" spans="2:7" ht="7.5" customHeight="1" x14ac:dyDescent="0.25">
      <c r="F12" s="46" t="s">
        <v>3</v>
      </c>
      <c r="G12" s="46"/>
    </row>
    <row r="13" spans="2:7" ht="11.25" customHeight="1" x14ac:dyDescent="0.25">
      <c r="F13" s="47"/>
      <c r="G13" s="47"/>
    </row>
    <row r="14" spans="2:7" ht="22.5" customHeight="1" x14ac:dyDescent="0.25">
      <c r="F14" s="48">
        <f>COUNTIF(Documentações[], "Pendente")</f>
        <v>10</v>
      </c>
      <c r="G14" s="48"/>
    </row>
    <row r="15" spans="2:7" ht="11.25" customHeight="1" x14ac:dyDescent="0.25">
      <c r="F15" s="49"/>
      <c r="G15" s="49"/>
    </row>
    <row r="18" spans="2:3" ht="15.75" x14ac:dyDescent="0.25">
      <c r="B18" s="39" t="s">
        <v>4</v>
      </c>
      <c r="C18" s="39" t="s">
        <v>5</v>
      </c>
    </row>
    <row r="19" spans="2:3" ht="15.75" x14ac:dyDescent="0.25">
      <c r="B19" s="40" t="s">
        <v>6</v>
      </c>
      <c r="C19" s="41">
        <v>14795.28</v>
      </c>
    </row>
    <row r="20" spans="2:3" ht="15.75" x14ac:dyDescent="0.25">
      <c r="B20" s="42" t="s">
        <v>7</v>
      </c>
      <c r="C20" s="41">
        <v>4470.3900000000003</v>
      </c>
    </row>
    <row r="21" spans="2:3" ht="15.75" x14ac:dyDescent="0.25">
      <c r="B21" s="42" t="s">
        <v>8</v>
      </c>
      <c r="C21" s="41">
        <v>2598.6800000000003</v>
      </c>
    </row>
    <row r="22" spans="2:3" ht="15.75" x14ac:dyDescent="0.25">
      <c r="B22" s="42" t="s">
        <v>9</v>
      </c>
      <c r="C22" s="41">
        <v>1524.77</v>
      </c>
    </row>
    <row r="23" spans="2:3" ht="15.75" x14ac:dyDescent="0.25">
      <c r="B23" s="42" t="s">
        <v>10</v>
      </c>
      <c r="C23" s="41">
        <v>1746.79</v>
      </c>
    </row>
    <row r="24" spans="2:3" ht="15.75" x14ac:dyDescent="0.25">
      <c r="B24" s="42" t="s">
        <v>11</v>
      </c>
      <c r="C24" s="41">
        <v>2725.1499999999996</v>
      </c>
    </row>
    <row r="25" spans="2:3" ht="15.75" x14ac:dyDescent="0.25">
      <c r="B25" s="42" t="s">
        <v>12</v>
      </c>
      <c r="C25" s="41">
        <v>865.75999999999988</v>
      </c>
    </row>
    <row r="26" spans="2:3" ht="15.75" x14ac:dyDescent="0.25">
      <c r="B26" s="42" t="s">
        <v>13</v>
      </c>
      <c r="C26" s="41">
        <v>863.74</v>
      </c>
    </row>
    <row r="27" spans="2:3" ht="15.75" x14ac:dyDescent="0.25">
      <c r="B27" s="40" t="s">
        <v>14</v>
      </c>
      <c r="C27" s="41">
        <v>13314.820000000003</v>
      </c>
    </row>
    <row r="28" spans="2:3" ht="15.75" x14ac:dyDescent="0.25">
      <c r="B28" s="42" t="s">
        <v>7</v>
      </c>
      <c r="C28" s="41">
        <v>1773.98</v>
      </c>
    </row>
    <row r="29" spans="2:3" ht="15.75" x14ac:dyDescent="0.25">
      <c r="B29" s="42" t="s">
        <v>8</v>
      </c>
      <c r="C29" s="41">
        <v>1518.91</v>
      </c>
    </row>
    <row r="30" spans="2:3" ht="15.75" x14ac:dyDescent="0.25">
      <c r="B30" s="42" t="s">
        <v>9</v>
      </c>
      <c r="C30" s="41">
        <v>3734.1000000000004</v>
      </c>
    </row>
    <row r="31" spans="2:3" ht="15.75" x14ac:dyDescent="0.25">
      <c r="B31" s="42" t="s">
        <v>10</v>
      </c>
      <c r="C31" s="41">
        <v>1398.5</v>
      </c>
    </row>
    <row r="32" spans="2:3" ht="15.75" x14ac:dyDescent="0.25">
      <c r="B32" s="42" t="s">
        <v>11</v>
      </c>
      <c r="C32" s="41">
        <v>2842.63</v>
      </c>
    </row>
    <row r="33" spans="2:3" ht="15.75" x14ac:dyDescent="0.25">
      <c r="B33" s="42" t="s">
        <v>12</v>
      </c>
      <c r="C33" s="41">
        <v>1370.79</v>
      </c>
    </row>
    <row r="34" spans="2:3" ht="15.75" x14ac:dyDescent="0.25">
      <c r="B34" s="42" t="s">
        <v>13</v>
      </c>
      <c r="C34" s="41">
        <v>675.91</v>
      </c>
    </row>
    <row r="35" spans="2:3" ht="15.75" x14ac:dyDescent="0.25">
      <c r="B35" s="40" t="s">
        <v>15</v>
      </c>
      <c r="C35" s="41">
        <v>11672.77</v>
      </c>
    </row>
    <row r="36" spans="2:3" ht="15.75" x14ac:dyDescent="0.25">
      <c r="B36" s="42" t="s">
        <v>7</v>
      </c>
      <c r="C36" s="41">
        <v>1981.03</v>
      </c>
    </row>
    <row r="37" spans="2:3" ht="15.75" x14ac:dyDescent="0.25">
      <c r="B37" s="42" t="s">
        <v>8</v>
      </c>
      <c r="C37" s="41">
        <v>2049.94</v>
      </c>
    </row>
    <row r="38" spans="2:3" ht="15.75" x14ac:dyDescent="0.25">
      <c r="B38" s="42" t="s">
        <v>9</v>
      </c>
      <c r="C38" s="41">
        <v>1432.37</v>
      </c>
    </row>
    <row r="39" spans="2:3" ht="15.75" x14ac:dyDescent="0.25">
      <c r="B39" s="42" t="s">
        <v>10</v>
      </c>
      <c r="C39" s="41">
        <v>1429.26</v>
      </c>
    </row>
    <row r="40" spans="2:3" ht="15.75" x14ac:dyDescent="0.25">
      <c r="B40" s="42" t="s">
        <v>11</v>
      </c>
      <c r="C40" s="41">
        <v>1704.5</v>
      </c>
    </row>
    <row r="41" spans="2:3" ht="15.75" x14ac:dyDescent="0.25">
      <c r="B41" s="42" t="s">
        <v>12</v>
      </c>
      <c r="C41" s="41">
        <v>2088.35</v>
      </c>
    </row>
    <row r="42" spans="2:3" ht="15.75" x14ac:dyDescent="0.25">
      <c r="B42" s="42" t="s">
        <v>13</v>
      </c>
      <c r="C42" s="41">
        <v>987.32</v>
      </c>
    </row>
    <row r="43" spans="2:3" ht="15.75" x14ac:dyDescent="0.25">
      <c r="B43" s="40" t="s">
        <v>16</v>
      </c>
      <c r="C43" s="41">
        <v>17092.739999999998</v>
      </c>
    </row>
    <row r="44" spans="2:3" ht="15.75" x14ac:dyDescent="0.25">
      <c r="B44" s="42" t="s">
        <v>7</v>
      </c>
      <c r="C44" s="41">
        <v>1575.41</v>
      </c>
    </row>
    <row r="45" spans="2:3" ht="15.75" x14ac:dyDescent="0.25">
      <c r="B45" s="42" t="s">
        <v>8</v>
      </c>
      <c r="C45" s="41">
        <v>1357.24</v>
      </c>
    </row>
    <row r="46" spans="2:3" ht="15.75" x14ac:dyDescent="0.25">
      <c r="B46" s="42" t="s">
        <v>9</v>
      </c>
      <c r="C46" s="41">
        <v>2198.83</v>
      </c>
    </row>
    <row r="47" spans="2:3" ht="15.75" x14ac:dyDescent="0.25">
      <c r="B47" s="42" t="s">
        <v>10</v>
      </c>
      <c r="C47" s="41">
        <v>2840.26</v>
      </c>
    </row>
    <row r="48" spans="2:3" ht="15.75" x14ac:dyDescent="0.25">
      <c r="B48" s="42" t="s">
        <v>11</v>
      </c>
      <c r="C48" s="41">
        <v>4534.92</v>
      </c>
    </row>
    <row r="49" spans="2:3" ht="15.75" x14ac:dyDescent="0.25">
      <c r="B49" s="42" t="s">
        <v>12</v>
      </c>
      <c r="C49" s="41">
        <v>3777.9900000000002</v>
      </c>
    </row>
    <row r="50" spans="2:3" ht="15.75" x14ac:dyDescent="0.25">
      <c r="B50" s="42" t="s">
        <v>13</v>
      </c>
      <c r="C50" s="41">
        <v>808.08999999999992</v>
      </c>
    </row>
    <row r="51" spans="2:3" ht="15.75" x14ac:dyDescent="0.25">
      <c r="B51" s="40" t="s">
        <v>17</v>
      </c>
      <c r="C51" s="41">
        <v>16295.519999999999</v>
      </c>
    </row>
    <row r="52" spans="2:3" ht="15.75" x14ac:dyDescent="0.25">
      <c r="B52" s="42" t="s">
        <v>7</v>
      </c>
      <c r="C52" s="41">
        <v>600.39</v>
      </c>
    </row>
    <row r="53" spans="2:3" ht="15.75" x14ac:dyDescent="0.25">
      <c r="B53" s="42" t="s">
        <v>8</v>
      </c>
      <c r="C53" s="41">
        <v>2945.5299999999997</v>
      </c>
    </row>
    <row r="54" spans="2:3" ht="15.75" x14ac:dyDescent="0.25">
      <c r="B54" s="42" t="s">
        <v>9</v>
      </c>
      <c r="C54" s="41">
        <v>1943.87</v>
      </c>
    </row>
    <row r="55" spans="2:3" ht="15.75" x14ac:dyDescent="0.25">
      <c r="B55" s="42" t="s">
        <v>10</v>
      </c>
      <c r="C55" s="41">
        <v>3052.7799999999997</v>
      </c>
    </row>
    <row r="56" spans="2:3" ht="15.75" x14ac:dyDescent="0.25">
      <c r="B56" s="42" t="s">
        <v>11</v>
      </c>
      <c r="C56" s="41">
        <v>2779.28</v>
      </c>
    </row>
    <row r="57" spans="2:3" ht="15.75" x14ac:dyDescent="0.25">
      <c r="B57" s="42" t="s">
        <v>12</v>
      </c>
      <c r="C57" s="41">
        <v>4376.2699999999995</v>
      </c>
    </row>
    <row r="58" spans="2:3" ht="15.75" x14ac:dyDescent="0.25">
      <c r="B58" s="42" t="s">
        <v>13</v>
      </c>
      <c r="C58" s="41">
        <v>597.4</v>
      </c>
    </row>
    <row r="59" spans="2:3" ht="15.75" x14ac:dyDescent="0.25">
      <c r="B59" s="40" t="s">
        <v>18</v>
      </c>
      <c r="C59" s="41">
        <v>11093.69</v>
      </c>
    </row>
    <row r="60" spans="2:3" ht="15.75" x14ac:dyDescent="0.25">
      <c r="B60" s="42" t="s">
        <v>7</v>
      </c>
      <c r="C60" s="41">
        <v>3835.59</v>
      </c>
    </row>
    <row r="61" spans="2:3" ht="15.75" x14ac:dyDescent="0.25">
      <c r="B61" s="42" t="s">
        <v>8</v>
      </c>
      <c r="C61" s="41">
        <v>488.62</v>
      </c>
    </row>
    <row r="62" spans="2:3" ht="15.75" x14ac:dyDescent="0.25">
      <c r="B62" s="42" t="s">
        <v>9</v>
      </c>
      <c r="C62" s="41">
        <v>2189.96</v>
      </c>
    </row>
    <row r="63" spans="2:3" ht="15.75" x14ac:dyDescent="0.25">
      <c r="B63" s="42" t="s">
        <v>10</v>
      </c>
      <c r="C63" s="41">
        <v>574.44000000000005</v>
      </c>
    </row>
    <row r="64" spans="2:3" ht="15.75" x14ac:dyDescent="0.25">
      <c r="B64" s="42" t="s">
        <v>11</v>
      </c>
      <c r="C64" s="41">
        <v>2234.7199999999998</v>
      </c>
    </row>
    <row r="65" spans="2:3" ht="15.75" x14ac:dyDescent="0.25">
      <c r="B65" s="42" t="s">
        <v>12</v>
      </c>
      <c r="C65" s="41">
        <v>1077.5</v>
      </c>
    </row>
    <row r="66" spans="2:3" ht="15.75" x14ac:dyDescent="0.25">
      <c r="B66" s="42" t="s">
        <v>13</v>
      </c>
      <c r="C66" s="41">
        <v>692.86</v>
      </c>
    </row>
    <row r="67" spans="2:3" ht="15.75" x14ac:dyDescent="0.25">
      <c r="B67" s="40" t="s">
        <v>19</v>
      </c>
      <c r="C67" s="41">
        <v>16099.98</v>
      </c>
    </row>
    <row r="68" spans="2:3" ht="15.75" x14ac:dyDescent="0.25">
      <c r="B68" s="42" t="s">
        <v>7</v>
      </c>
      <c r="C68" s="41">
        <v>1324.33</v>
      </c>
    </row>
    <row r="69" spans="2:3" ht="15.75" x14ac:dyDescent="0.25">
      <c r="B69" s="42" t="s">
        <v>8</v>
      </c>
      <c r="C69" s="41">
        <v>1815.1799999999998</v>
      </c>
    </row>
    <row r="70" spans="2:3" ht="15.75" x14ac:dyDescent="0.25">
      <c r="B70" s="42" t="s">
        <v>9</v>
      </c>
      <c r="C70" s="41">
        <v>868.6400000000001</v>
      </c>
    </row>
    <row r="71" spans="2:3" ht="15.75" x14ac:dyDescent="0.25">
      <c r="B71" s="42" t="s">
        <v>10</v>
      </c>
      <c r="C71" s="41">
        <v>3603.62</v>
      </c>
    </row>
    <row r="72" spans="2:3" ht="15.75" x14ac:dyDescent="0.25">
      <c r="B72" s="42" t="s">
        <v>11</v>
      </c>
      <c r="C72" s="41">
        <v>3760.04</v>
      </c>
    </row>
    <row r="73" spans="2:3" ht="15.75" x14ac:dyDescent="0.25">
      <c r="B73" s="42" t="s">
        <v>12</v>
      </c>
      <c r="C73" s="41">
        <v>2604.17</v>
      </c>
    </row>
    <row r="74" spans="2:3" ht="15.75" x14ac:dyDescent="0.25">
      <c r="B74" s="42" t="s">
        <v>13</v>
      </c>
      <c r="C74" s="41">
        <v>2124</v>
      </c>
    </row>
    <row r="75" spans="2:3" ht="15.75" x14ac:dyDescent="0.25">
      <c r="B75" s="43" t="s">
        <v>20</v>
      </c>
      <c r="C75" s="44">
        <v>100364.79999999999</v>
      </c>
    </row>
  </sheetData>
  <mergeCells count="8">
    <mergeCell ref="F12:G13"/>
    <mergeCell ref="F14:G15"/>
    <mergeCell ref="B2:D3"/>
    <mergeCell ref="B4:C4"/>
    <mergeCell ref="F2:G3"/>
    <mergeCell ref="F4:G5"/>
    <mergeCell ref="F7:G8"/>
    <mergeCell ref="F9:G1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8"/>
  <sheetViews>
    <sheetView showGridLines="0" zoomScale="115" zoomScaleNormal="115" workbookViewId="0">
      <selection activeCell="B32" sqref="B32"/>
    </sheetView>
  </sheetViews>
  <sheetFormatPr defaultRowHeight="15" x14ac:dyDescent="0.25"/>
  <cols>
    <col min="1" max="1" width="2.85546875" style="22" customWidth="1"/>
    <col min="2" max="2" width="23.28515625" style="23" customWidth="1"/>
    <col min="3" max="3" width="29.5703125" style="23" customWidth="1"/>
    <col min="4" max="4" width="24.5703125" style="23" customWidth="1"/>
    <col min="5" max="5" width="19.42578125" style="24" customWidth="1"/>
    <col min="6" max="6" width="9.140625" style="22"/>
    <col min="7" max="7" width="24" style="22" customWidth="1"/>
    <col min="8" max="8" width="19.85546875" style="22" customWidth="1"/>
    <col min="9" max="9" width="15.28515625" style="22" customWidth="1"/>
    <col min="10" max="16384" width="9.140625" style="22"/>
  </cols>
  <sheetData>
    <row r="1" spans="1:10" ht="15.75" thickBot="1" x14ac:dyDescent="0.3"/>
    <row r="2" spans="1:10" ht="21" thickBot="1" x14ac:dyDescent="0.3">
      <c r="B2" s="55" t="s">
        <v>21</v>
      </c>
      <c r="C2" s="55"/>
      <c r="G2" s="58" t="s">
        <v>22</v>
      </c>
      <c r="H2" s="58"/>
      <c r="I2" s="58"/>
    </row>
    <row r="3" spans="1:10" ht="7.5" customHeight="1" thickBot="1" x14ac:dyDescent="0.3">
      <c r="A3" s="25"/>
      <c r="B3" s="26"/>
      <c r="C3" s="26"/>
      <c r="D3" s="26"/>
      <c r="E3" s="27"/>
      <c r="F3" s="25"/>
      <c r="G3" s="58"/>
      <c r="H3" s="58"/>
      <c r="I3" s="58"/>
      <c r="J3" s="25"/>
    </row>
    <row r="4" spans="1:10" ht="15.75" x14ac:dyDescent="0.25">
      <c r="A4" s="25"/>
      <c r="B4" s="6" t="s">
        <v>23</v>
      </c>
      <c r="C4" s="5" t="s">
        <v>24</v>
      </c>
      <c r="D4" s="6" t="s">
        <v>4</v>
      </c>
      <c r="E4" s="10" t="s">
        <v>25</v>
      </c>
      <c r="F4" s="25"/>
      <c r="G4" s="30" t="s">
        <v>26</v>
      </c>
      <c r="H4" s="56">
        <v>1071</v>
      </c>
      <c r="I4" s="57"/>
    </row>
    <row r="5" spans="1:10" ht="15.75" x14ac:dyDescent="0.25">
      <c r="A5" s="25"/>
      <c r="B5" s="12">
        <v>1056</v>
      </c>
      <c r="C5" s="3">
        <v>46023</v>
      </c>
      <c r="D5" s="4" t="s">
        <v>17</v>
      </c>
      <c r="E5" s="11">
        <v>357.95</v>
      </c>
      <c r="F5" s="25"/>
      <c r="G5" s="13" t="s">
        <v>24</v>
      </c>
      <c r="H5" s="14" t="s">
        <v>4</v>
      </c>
      <c r="I5" s="15" t="s">
        <v>25</v>
      </c>
    </row>
    <row r="6" spans="1:10" ht="15.75" thickBot="1" x14ac:dyDescent="0.3">
      <c r="A6" s="25"/>
      <c r="B6" s="12">
        <v>1188</v>
      </c>
      <c r="C6" s="3">
        <v>46024</v>
      </c>
      <c r="D6" s="4" t="s">
        <v>6</v>
      </c>
      <c r="E6" s="11">
        <v>867.42</v>
      </c>
      <c r="F6" s="25"/>
      <c r="G6" s="16">
        <f>VLOOKUP(H4,Caixa[],2,FALSE)</f>
        <v>46079</v>
      </c>
      <c r="H6" s="17" t="str">
        <f>VLOOKUP(H4,Caixa[],3,FALSE)</f>
        <v>Paulo</v>
      </c>
      <c r="I6" s="18">
        <f>VLOOKUP(H4,Caixa[],4,FALSE)</f>
        <v>117.44</v>
      </c>
    </row>
    <row r="7" spans="1:10" x14ac:dyDescent="0.25">
      <c r="A7" s="25"/>
      <c r="B7" s="12">
        <v>1010</v>
      </c>
      <c r="C7" s="3">
        <v>46024</v>
      </c>
      <c r="D7" s="4" t="s">
        <v>6</v>
      </c>
      <c r="E7" s="11">
        <v>815.53</v>
      </c>
      <c r="F7" s="25"/>
    </row>
    <row r="8" spans="1:10" x14ac:dyDescent="0.25">
      <c r="A8" s="25"/>
      <c r="B8" s="12">
        <v>1046</v>
      </c>
      <c r="C8" s="3">
        <v>46025</v>
      </c>
      <c r="D8" s="4" t="s">
        <v>15</v>
      </c>
      <c r="E8" s="11">
        <v>734.69</v>
      </c>
      <c r="F8" s="25"/>
    </row>
    <row r="9" spans="1:10" x14ac:dyDescent="0.25">
      <c r="A9" s="25"/>
      <c r="B9" s="12">
        <v>1057</v>
      </c>
      <c r="C9" s="3">
        <v>46027</v>
      </c>
      <c r="D9" s="4" t="s">
        <v>18</v>
      </c>
      <c r="E9" s="11">
        <v>932.64</v>
      </c>
      <c r="F9" s="25"/>
    </row>
    <row r="10" spans="1:10" x14ac:dyDescent="0.25">
      <c r="A10" s="25"/>
      <c r="B10" s="12">
        <v>1073</v>
      </c>
      <c r="C10" s="3">
        <v>46031</v>
      </c>
      <c r="D10" s="4" t="s">
        <v>6</v>
      </c>
      <c r="E10" s="11">
        <v>363.91</v>
      </c>
      <c r="F10" s="25"/>
    </row>
    <row r="11" spans="1:10" x14ac:dyDescent="0.25">
      <c r="A11" s="25"/>
      <c r="B11" s="12">
        <v>1005</v>
      </c>
      <c r="C11" s="3">
        <v>46031</v>
      </c>
      <c r="D11" s="4" t="s">
        <v>18</v>
      </c>
      <c r="E11" s="11">
        <v>139.01</v>
      </c>
      <c r="F11" s="25"/>
    </row>
    <row r="12" spans="1:10" x14ac:dyDescent="0.25">
      <c r="A12" s="25"/>
      <c r="B12" s="12">
        <v>1137</v>
      </c>
      <c r="C12" s="3">
        <v>46033</v>
      </c>
      <c r="D12" s="4" t="s">
        <v>19</v>
      </c>
      <c r="E12" s="11">
        <v>249.57</v>
      </c>
      <c r="F12" s="25"/>
    </row>
    <row r="13" spans="1:10" x14ac:dyDescent="0.25">
      <c r="A13" s="25"/>
      <c r="B13" s="12">
        <v>1107</v>
      </c>
      <c r="C13" s="3">
        <v>46033</v>
      </c>
      <c r="D13" s="4" t="s">
        <v>17</v>
      </c>
      <c r="E13" s="11">
        <v>127.88</v>
      </c>
      <c r="F13" s="25"/>
    </row>
    <row r="14" spans="1:10" x14ac:dyDescent="0.25">
      <c r="A14" s="25"/>
      <c r="B14" s="12">
        <v>1041</v>
      </c>
      <c r="C14" s="3">
        <v>46035</v>
      </c>
      <c r="D14" s="4" t="s">
        <v>6</v>
      </c>
      <c r="E14" s="11">
        <v>154.16999999999999</v>
      </c>
      <c r="F14" s="25"/>
    </row>
    <row r="15" spans="1:10" x14ac:dyDescent="0.25">
      <c r="A15" s="25"/>
      <c r="B15" s="12">
        <v>1081</v>
      </c>
      <c r="C15" s="3">
        <v>46036</v>
      </c>
      <c r="D15" s="4" t="s">
        <v>15</v>
      </c>
      <c r="E15" s="11">
        <v>670.78</v>
      </c>
      <c r="F15" s="25"/>
    </row>
    <row r="16" spans="1:10" x14ac:dyDescent="0.25">
      <c r="A16" s="25"/>
      <c r="B16" s="12">
        <v>1127</v>
      </c>
      <c r="C16" s="3">
        <v>46036</v>
      </c>
      <c r="D16" s="4" t="s">
        <v>18</v>
      </c>
      <c r="E16" s="11">
        <v>652.57000000000005</v>
      </c>
      <c r="F16" s="25"/>
    </row>
    <row r="17" spans="1:6" x14ac:dyDescent="0.25">
      <c r="A17" s="25"/>
      <c r="B17" s="12">
        <v>1031</v>
      </c>
      <c r="C17" s="3">
        <v>46037</v>
      </c>
      <c r="D17" s="4" t="s">
        <v>14</v>
      </c>
      <c r="E17" s="11">
        <v>830.71</v>
      </c>
      <c r="F17" s="25"/>
    </row>
    <row r="18" spans="1:6" x14ac:dyDescent="0.25">
      <c r="A18" s="25"/>
      <c r="B18" s="12">
        <v>1093</v>
      </c>
      <c r="C18" s="3">
        <v>46038</v>
      </c>
      <c r="D18" s="4" t="s">
        <v>14</v>
      </c>
      <c r="E18" s="11">
        <v>410.02</v>
      </c>
      <c r="F18" s="25"/>
    </row>
    <row r="19" spans="1:6" x14ac:dyDescent="0.25">
      <c r="A19" s="25"/>
      <c r="B19" s="12">
        <v>1020</v>
      </c>
      <c r="C19" s="3">
        <v>46040</v>
      </c>
      <c r="D19" s="4" t="s">
        <v>18</v>
      </c>
      <c r="E19" s="11">
        <v>678.2</v>
      </c>
      <c r="F19" s="25"/>
    </row>
    <row r="20" spans="1:6" x14ac:dyDescent="0.25">
      <c r="A20" s="25"/>
      <c r="B20" s="12">
        <v>1152</v>
      </c>
      <c r="C20" s="3">
        <v>46040</v>
      </c>
      <c r="D20" s="4" t="s">
        <v>6</v>
      </c>
      <c r="E20" s="11">
        <v>315.17</v>
      </c>
      <c r="F20" s="25"/>
    </row>
    <row r="21" spans="1:6" x14ac:dyDescent="0.25">
      <c r="A21" s="25"/>
      <c r="B21" s="12">
        <v>1104</v>
      </c>
      <c r="C21" s="3">
        <v>46040</v>
      </c>
      <c r="D21" s="4" t="s">
        <v>17</v>
      </c>
      <c r="E21" s="11">
        <v>114.56</v>
      </c>
      <c r="F21" s="25"/>
    </row>
    <row r="22" spans="1:6" x14ac:dyDescent="0.25">
      <c r="A22" s="25"/>
      <c r="B22" s="12">
        <v>1113</v>
      </c>
      <c r="C22" s="3">
        <v>46041</v>
      </c>
      <c r="D22" s="4" t="s">
        <v>18</v>
      </c>
      <c r="E22" s="11">
        <v>485.37</v>
      </c>
      <c r="F22" s="25"/>
    </row>
    <row r="23" spans="1:6" x14ac:dyDescent="0.25">
      <c r="A23" s="25"/>
      <c r="B23" s="12">
        <v>1184</v>
      </c>
      <c r="C23" s="3">
        <v>46041</v>
      </c>
      <c r="D23" s="4" t="s">
        <v>16</v>
      </c>
      <c r="E23" s="11">
        <v>443.72</v>
      </c>
      <c r="F23" s="25"/>
    </row>
    <row r="24" spans="1:6" x14ac:dyDescent="0.25">
      <c r="A24" s="25"/>
      <c r="B24" s="12">
        <v>1087</v>
      </c>
      <c r="C24" s="3">
        <v>46042</v>
      </c>
      <c r="D24" s="4" t="s">
        <v>16</v>
      </c>
      <c r="E24" s="11">
        <v>817.62</v>
      </c>
      <c r="F24" s="25"/>
    </row>
    <row r="25" spans="1:6" x14ac:dyDescent="0.25">
      <c r="A25" s="25"/>
      <c r="B25" s="12">
        <v>1090</v>
      </c>
      <c r="C25" s="3">
        <v>46046</v>
      </c>
      <c r="D25" s="4" t="s">
        <v>6</v>
      </c>
      <c r="E25" s="11">
        <v>856.26</v>
      </c>
      <c r="F25" s="25"/>
    </row>
    <row r="26" spans="1:6" x14ac:dyDescent="0.25">
      <c r="A26" s="25"/>
      <c r="B26" s="12">
        <v>1014</v>
      </c>
      <c r="C26" s="3">
        <v>46047</v>
      </c>
      <c r="D26" s="4" t="s">
        <v>19</v>
      </c>
      <c r="E26" s="11">
        <v>855.12</v>
      </c>
      <c r="F26" s="25"/>
    </row>
    <row r="27" spans="1:6" x14ac:dyDescent="0.25">
      <c r="A27" s="25"/>
      <c r="B27" s="12">
        <v>1022</v>
      </c>
      <c r="C27" s="3">
        <v>46048</v>
      </c>
      <c r="D27" s="4" t="s">
        <v>16</v>
      </c>
      <c r="E27" s="11">
        <v>314.07</v>
      </c>
      <c r="F27" s="25"/>
    </row>
    <row r="28" spans="1:6" x14ac:dyDescent="0.25">
      <c r="A28" s="25"/>
      <c r="B28" s="12">
        <v>1121</v>
      </c>
      <c r="C28" s="3">
        <v>46049</v>
      </c>
      <c r="D28" s="4" t="s">
        <v>14</v>
      </c>
      <c r="E28" s="11">
        <v>301.24</v>
      </c>
      <c r="F28" s="25"/>
    </row>
    <row r="29" spans="1:6" x14ac:dyDescent="0.25">
      <c r="A29" s="25"/>
      <c r="B29" s="12">
        <v>1052</v>
      </c>
      <c r="C29" s="3">
        <v>46050</v>
      </c>
      <c r="D29" s="4" t="s">
        <v>6</v>
      </c>
      <c r="E29" s="11">
        <v>644.04</v>
      </c>
      <c r="F29" s="25"/>
    </row>
    <row r="30" spans="1:6" x14ac:dyDescent="0.25">
      <c r="A30" s="25"/>
      <c r="B30" s="12">
        <v>1122</v>
      </c>
      <c r="C30" s="3">
        <v>46050</v>
      </c>
      <c r="D30" s="4" t="s">
        <v>15</v>
      </c>
      <c r="E30" s="11">
        <v>575.55999999999995</v>
      </c>
      <c r="F30" s="25"/>
    </row>
    <row r="31" spans="1:6" x14ac:dyDescent="0.25">
      <c r="A31" s="25"/>
      <c r="B31" s="12">
        <v>1189</v>
      </c>
      <c r="C31" s="3">
        <v>46050</v>
      </c>
      <c r="D31" s="4" t="s">
        <v>6</v>
      </c>
      <c r="E31" s="11">
        <v>453.89</v>
      </c>
      <c r="F31" s="25"/>
    </row>
    <row r="32" spans="1:6" x14ac:dyDescent="0.25">
      <c r="A32" s="25"/>
      <c r="B32" s="12">
        <v>1084</v>
      </c>
      <c r="C32" s="3">
        <v>46050</v>
      </c>
      <c r="D32" s="4" t="s">
        <v>14</v>
      </c>
      <c r="E32" s="11">
        <v>232.01</v>
      </c>
      <c r="F32" s="25"/>
    </row>
    <row r="33" spans="1:6" x14ac:dyDescent="0.25">
      <c r="A33" s="25"/>
      <c r="B33" s="12">
        <v>1132</v>
      </c>
      <c r="C33" s="3">
        <v>46051</v>
      </c>
      <c r="D33" s="4" t="s">
        <v>18</v>
      </c>
      <c r="E33" s="11">
        <v>947.8</v>
      </c>
      <c r="F33" s="25"/>
    </row>
    <row r="34" spans="1:6" x14ac:dyDescent="0.25">
      <c r="A34" s="25"/>
      <c r="B34" s="12">
        <v>1155</v>
      </c>
      <c r="C34" s="3">
        <v>46052</v>
      </c>
      <c r="D34" s="4" t="s">
        <v>19</v>
      </c>
      <c r="E34" s="11">
        <v>219.64</v>
      </c>
      <c r="F34" s="25"/>
    </row>
    <row r="35" spans="1:6" x14ac:dyDescent="0.25">
      <c r="A35" s="25"/>
      <c r="B35" s="12">
        <v>1129</v>
      </c>
      <c r="C35" s="3">
        <v>46056</v>
      </c>
      <c r="D35" s="4" t="s">
        <v>15</v>
      </c>
      <c r="E35" s="11">
        <v>980.81</v>
      </c>
      <c r="F35" s="25"/>
    </row>
    <row r="36" spans="1:6" x14ac:dyDescent="0.25">
      <c r="A36" s="25"/>
      <c r="B36" s="12">
        <v>1193</v>
      </c>
      <c r="C36" s="3">
        <v>46057</v>
      </c>
      <c r="D36" s="4" t="s">
        <v>6</v>
      </c>
      <c r="E36" s="11">
        <v>491.41</v>
      </c>
      <c r="F36" s="25"/>
    </row>
    <row r="37" spans="1:6" x14ac:dyDescent="0.25">
      <c r="A37" s="25"/>
      <c r="B37" s="12">
        <v>1040</v>
      </c>
      <c r="C37" s="3">
        <v>46058</v>
      </c>
      <c r="D37" s="4" t="s">
        <v>17</v>
      </c>
      <c r="E37" s="11">
        <v>518.84</v>
      </c>
      <c r="F37" s="25"/>
    </row>
    <row r="38" spans="1:6" x14ac:dyDescent="0.25">
      <c r="A38" s="25"/>
      <c r="B38" s="12">
        <v>1204</v>
      </c>
      <c r="C38" s="3">
        <v>46061</v>
      </c>
      <c r="D38" s="4" t="s">
        <v>14</v>
      </c>
      <c r="E38" s="11">
        <v>413.88</v>
      </c>
      <c r="F38" s="25"/>
    </row>
    <row r="39" spans="1:6" x14ac:dyDescent="0.25">
      <c r="A39" s="25"/>
      <c r="B39" s="12">
        <v>1012</v>
      </c>
      <c r="C39" s="3">
        <v>46062</v>
      </c>
      <c r="D39" s="4" t="s">
        <v>14</v>
      </c>
      <c r="E39" s="11">
        <v>959.35</v>
      </c>
      <c r="F39" s="25"/>
    </row>
    <row r="40" spans="1:6" x14ac:dyDescent="0.25">
      <c r="A40" s="25"/>
      <c r="B40" s="12">
        <v>1054</v>
      </c>
      <c r="C40" s="3">
        <v>46062</v>
      </c>
      <c r="D40" s="4" t="s">
        <v>19</v>
      </c>
      <c r="E40" s="11">
        <v>774.39</v>
      </c>
      <c r="F40" s="25"/>
    </row>
    <row r="41" spans="1:6" x14ac:dyDescent="0.25">
      <c r="A41" s="25"/>
      <c r="B41" s="12">
        <v>1205</v>
      </c>
      <c r="C41" s="3">
        <v>46062</v>
      </c>
      <c r="D41" s="4" t="s">
        <v>15</v>
      </c>
      <c r="E41" s="11">
        <v>253.26</v>
      </c>
      <c r="F41" s="25"/>
    </row>
    <row r="42" spans="1:6" x14ac:dyDescent="0.25">
      <c r="A42" s="25"/>
      <c r="B42" s="12">
        <v>1146</v>
      </c>
      <c r="C42" s="3">
        <v>46063</v>
      </c>
      <c r="D42" s="4" t="s">
        <v>6</v>
      </c>
      <c r="E42" s="11">
        <v>716.21</v>
      </c>
      <c r="F42" s="25"/>
    </row>
    <row r="43" spans="1:6" x14ac:dyDescent="0.25">
      <c r="A43" s="25"/>
      <c r="B43" s="12">
        <v>1130</v>
      </c>
      <c r="C43" s="3">
        <v>46064</v>
      </c>
      <c r="D43" s="4" t="s">
        <v>15</v>
      </c>
      <c r="E43" s="11">
        <v>469.74</v>
      </c>
      <c r="F43" s="25"/>
    </row>
    <row r="44" spans="1:6" x14ac:dyDescent="0.25">
      <c r="A44" s="25"/>
      <c r="B44" s="12">
        <v>1028</v>
      </c>
      <c r="C44" s="3">
        <v>46064</v>
      </c>
      <c r="D44" s="4" t="s">
        <v>16</v>
      </c>
      <c r="E44" s="11">
        <v>410.48</v>
      </c>
      <c r="F44" s="25"/>
    </row>
    <row r="45" spans="1:6" x14ac:dyDescent="0.25">
      <c r="A45" s="25"/>
      <c r="B45" s="12">
        <v>1063</v>
      </c>
      <c r="C45" s="3">
        <v>46065</v>
      </c>
      <c r="D45" s="4" t="s">
        <v>19</v>
      </c>
      <c r="E45" s="11">
        <v>551.29</v>
      </c>
      <c r="F45" s="25"/>
    </row>
    <row r="46" spans="1:6" x14ac:dyDescent="0.25">
      <c r="A46" s="25"/>
      <c r="B46" s="12">
        <v>1091</v>
      </c>
      <c r="C46" s="3">
        <v>46065</v>
      </c>
      <c r="D46" s="4" t="s">
        <v>16</v>
      </c>
      <c r="E46" s="11">
        <v>511.36</v>
      </c>
      <c r="F46" s="25"/>
    </row>
    <row r="47" spans="1:6" x14ac:dyDescent="0.25">
      <c r="A47" s="25"/>
      <c r="B47" s="12">
        <v>1027</v>
      </c>
      <c r="C47" s="3">
        <v>46066</v>
      </c>
      <c r="D47" s="4" t="s">
        <v>17</v>
      </c>
      <c r="E47" s="11">
        <v>742.67</v>
      </c>
      <c r="F47" s="25"/>
    </row>
    <row r="48" spans="1:6" x14ac:dyDescent="0.25">
      <c r="A48" s="25"/>
      <c r="B48" s="12">
        <v>1190</v>
      </c>
      <c r="C48" s="3">
        <v>46068</v>
      </c>
      <c r="D48" s="4" t="s">
        <v>6</v>
      </c>
      <c r="E48" s="11">
        <v>960.07</v>
      </c>
      <c r="F48" s="25"/>
    </row>
    <row r="49" spans="1:6" x14ac:dyDescent="0.25">
      <c r="A49" s="25"/>
      <c r="B49" s="12">
        <v>1142</v>
      </c>
      <c r="C49" s="3">
        <v>46068</v>
      </c>
      <c r="D49" s="4" t="s">
        <v>16</v>
      </c>
      <c r="E49" s="11">
        <v>73.55</v>
      </c>
      <c r="F49" s="25"/>
    </row>
    <row r="50" spans="1:6" x14ac:dyDescent="0.25">
      <c r="A50" s="25"/>
      <c r="B50" s="12">
        <v>1086</v>
      </c>
      <c r="C50" s="3">
        <v>46069</v>
      </c>
      <c r="D50" s="4" t="s">
        <v>19</v>
      </c>
      <c r="E50" s="11">
        <v>489.5</v>
      </c>
      <c r="F50" s="25"/>
    </row>
    <row r="51" spans="1:6" x14ac:dyDescent="0.25">
      <c r="A51" s="25"/>
      <c r="B51" s="12">
        <v>1151</v>
      </c>
      <c r="C51" s="3">
        <v>46072</v>
      </c>
      <c r="D51" s="4" t="s">
        <v>16</v>
      </c>
      <c r="E51" s="11">
        <v>361.85</v>
      </c>
      <c r="F51" s="25"/>
    </row>
    <row r="52" spans="1:6" x14ac:dyDescent="0.25">
      <c r="A52" s="25"/>
      <c r="B52" s="12">
        <v>1182</v>
      </c>
      <c r="C52" s="3">
        <v>46073</v>
      </c>
      <c r="D52" s="4" t="s">
        <v>14</v>
      </c>
      <c r="E52" s="11">
        <v>73.2</v>
      </c>
      <c r="F52" s="25"/>
    </row>
    <row r="53" spans="1:6" x14ac:dyDescent="0.25">
      <c r="A53" s="25"/>
      <c r="B53" s="12">
        <v>1066</v>
      </c>
      <c r="C53" s="3">
        <v>46074</v>
      </c>
      <c r="D53" s="4" t="s">
        <v>15</v>
      </c>
      <c r="E53" s="11">
        <v>346.13</v>
      </c>
      <c r="F53" s="25"/>
    </row>
    <row r="54" spans="1:6" x14ac:dyDescent="0.25">
      <c r="A54" s="25"/>
      <c r="B54" s="12">
        <v>1033</v>
      </c>
      <c r="C54" s="3">
        <v>46077</v>
      </c>
      <c r="D54" s="4" t="s">
        <v>17</v>
      </c>
      <c r="E54" s="11">
        <v>882.55</v>
      </c>
      <c r="F54" s="25"/>
    </row>
    <row r="55" spans="1:6" x14ac:dyDescent="0.25">
      <c r="A55" s="25"/>
      <c r="B55" s="12">
        <v>1177</v>
      </c>
      <c r="C55" s="3">
        <v>46077</v>
      </c>
      <c r="D55" s="4" t="s">
        <v>17</v>
      </c>
      <c r="E55" s="11">
        <v>499.53</v>
      </c>
      <c r="F55" s="25"/>
    </row>
    <row r="56" spans="1:6" x14ac:dyDescent="0.25">
      <c r="A56" s="25"/>
      <c r="B56" s="12">
        <v>1092</v>
      </c>
      <c r="C56" s="3">
        <v>46077</v>
      </c>
      <c r="D56" s="4" t="s">
        <v>6</v>
      </c>
      <c r="E56" s="11">
        <v>430.99</v>
      </c>
      <c r="F56" s="25"/>
    </row>
    <row r="57" spans="1:6" x14ac:dyDescent="0.25">
      <c r="A57" s="25"/>
      <c r="B57" s="12">
        <v>1115</v>
      </c>
      <c r="C57" s="3">
        <v>46077</v>
      </c>
      <c r="D57" s="4" t="s">
        <v>17</v>
      </c>
      <c r="E57" s="11">
        <v>301.94</v>
      </c>
      <c r="F57" s="25"/>
    </row>
    <row r="58" spans="1:6" x14ac:dyDescent="0.25">
      <c r="A58" s="25"/>
      <c r="B58" s="12">
        <v>1071</v>
      </c>
      <c r="C58" s="3">
        <v>46079</v>
      </c>
      <c r="D58" s="4" t="s">
        <v>18</v>
      </c>
      <c r="E58" s="11">
        <v>117.44</v>
      </c>
      <c r="F58" s="25"/>
    </row>
    <row r="59" spans="1:6" x14ac:dyDescent="0.25">
      <c r="A59" s="25"/>
      <c r="B59" s="12">
        <v>1069</v>
      </c>
      <c r="C59" s="3">
        <v>46080</v>
      </c>
      <c r="D59" s="4" t="s">
        <v>18</v>
      </c>
      <c r="E59" s="11">
        <v>371.18</v>
      </c>
      <c r="F59" s="25"/>
    </row>
    <row r="60" spans="1:6" x14ac:dyDescent="0.25">
      <c r="A60" s="25"/>
      <c r="B60" s="12">
        <v>1150</v>
      </c>
      <c r="C60" s="3">
        <v>46081</v>
      </c>
      <c r="D60" s="4" t="s">
        <v>14</v>
      </c>
      <c r="E60" s="11">
        <v>72.48</v>
      </c>
      <c r="F60" s="25"/>
    </row>
    <row r="61" spans="1:6" x14ac:dyDescent="0.25">
      <c r="A61" s="25"/>
      <c r="B61" s="12">
        <v>1006</v>
      </c>
      <c r="C61" s="3">
        <v>46082</v>
      </c>
      <c r="D61" s="4" t="s">
        <v>17</v>
      </c>
      <c r="E61" s="11">
        <v>621.91999999999996</v>
      </c>
      <c r="F61" s="25"/>
    </row>
    <row r="62" spans="1:6" x14ac:dyDescent="0.25">
      <c r="A62" s="25"/>
      <c r="B62" s="12">
        <v>1181</v>
      </c>
      <c r="C62" s="3">
        <v>46083</v>
      </c>
      <c r="D62" s="4" t="s">
        <v>15</v>
      </c>
      <c r="E62" s="11">
        <v>344.9</v>
      </c>
      <c r="F62" s="25"/>
    </row>
    <row r="63" spans="1:6" x14ac:dyDescent="0.25">
      <c r="A63" s="25"/>
      <c r="B63" s="12">
        <v>1141</v>
      </c>
      <c r="C63" s="3">
        <v>46083</v>
      </c>
      <c r="D63" s="4" t="s">
        <v>6</v>
      </c>
      <c r="E63" s="11">
        <v>204.38</v>
      </c>
      <c r="F63" s="25"/>
    </row>
    <row r="64" spans="1:6" x14ac:dyDescent="0.25">
      <c r="A64" s="25"/>
      <c r="B64" s="12">
        <v>1105</v>
      </c>
      <c r="C64" s="3">
        <v>46083</v>
      </c>
      <c r="D64" s="4" t="s">
        <v>16</v>
      </c>
      <c r="E64" s="11">
        <v>163.89</v>
      </c>
      <c r="F64" s="25"/>
    </row>
    <row r="65" spans="1:6" x14ac:dyDescent="0.25">
      <c r="A65" s="25"/>
      <c r="B65" s="12">
        <v>1187</v>
      </c>
      <c r="C65" s="3">
        <v>46085</v>
      </c>
      <c r="D65" s="4" t="s">
        <v>14</v>
      </c>
      <c r="E65" s="11">
        <v>673.26</v>
      </c>
      <c r="F65" s="25"/>
    </row>
    <row r="66" spans="1:6" x14ac:dyDescent="0.25">
      <c r="A66" s="25"/>
      <c r="B66" s="12">
        <v>1183</v>
      </c>
      <c r="C66" s="3">
        <v>46085</v>
      </c>
      <c r="D66" s="4" t="s">
        <v>16</v>
      </c>
      <c r="E66" s="11">
        <v>630.71</v>
      </c>
      <c r="F66" s="25"/>
    </row>
    <row r="67" spans="1:6" x14ac:dyDescent="0.25">
      <c r="A67" s="25"/>
      <c r="B67" s="12">
        <v>1077</v>
      </c>
      <c r="C67" s="3">
        <v>46085</v>
      </c>
      <c r="D67" s="4" t="s">
        <v>6</v>
      </c>
      <c r="E67" s="11">
        <v>499.32</v>
      </c>
      <c r="F67" s="25"/>
    </row>
    <row r="68" spans="1:6" x14ac:dyDescent="0.25">
      <c r="A68" s="25"/>
      <c r="B68" s="12">
        <v>1199</v>
      </c>
      <c r="C68" s="3">
        <v>46086</v>
      </c>
      <c r="D68" s="4" t="s">
        <v>6</v>
      </c>
      <c r="E68" s="11">
        <v>655.78</v>
      </c>
      <c r="F68" s="25"/>
    </row>
    <row r="69" spans="1:6" x14ac:dyDescent="0.25">
      <c r="A69" s="25"/>
      <c r="B69" s="12">
        <v>1192</v>
      </c>
      <c r="C69" s="3">
        <v>46086</v>
      </c>
      <c r="D69" s="4" t="s">
        <v>6</v>
      </c>
      <c r="E69" s="11">
        <v>165.29</v>
      </c>
      <c r="F69" s="25"/>
    </row>
    <row r="70" spans="1:6" x14ac:dyDescent="0.25">
      <c r="A70" s="25"/>
      <c r="B70" s="12">
        <v>1138</v>
      </c>
      <c r="C70" s="3">
        <v>46086</v>
      </c>
      <c r="D70" s="4" t="s">
        <v>15</v>
      </c>
      <c r="E70" s="11">
        <v>147.65</v>
      </c>
      <c r="F70" s="25"/>
    </row>
    <row r="71" spans="1:6" x14ac:dyDescent="0.25">
      <c r="A71" s="25"/>
      <c r="B71" s="12">
        <v>1036</v>
      </c>
      <c r="C71" s="3">
        <v>46090</v>
      </c>
      <c r="D71" s="4" t="s">
        <v>14</v>
      </c>
      <c r="E71" s="11">
        <v>284.3</v>
      </c>
      <c r="F71" s="25"/>
    </row>
    <row r="72" spans="1:6" x14ac:dyDescent="0.25">
      <c r="A72" s="25"/>
      <c r="B72" s="12">
        <v>1156</v>
      </c>
      <c r="C72" s="3">
        <v>46090</v>
      </c>
      <c r="D72" s="4" t="s">
        <v>18</v>
      </c>
      <c r="E72" s="11">
        <v>152.97999999999999</v>
      </c>
      <c r="F72" s="25"/>
    </row>
    <row r="73" spans="1:6" x14ac:dyDescent="0.25">
      <c r="A73" s="25"/>
      <c r="B73" s="12">
        <v>1025</v>
      </c>
      <c r="C73" s="3">
        <v>46091</v>
      </c>
      <c r="D73" s="4" t="s">
        <v>15</v>
      </c>
      <c r="E73" s="11">
        <v>939.82</v>
      </c>
      <c r="F73" s="25"/>
    </row>
    <row r="74" spans="1:6" x14ac:dyDescent="0.25">
      <c r="A74" s="25"/>
      <c r="B74" s="12">
        <v>1123</v>
      </c>
      <c r="C74" s="3">
        <v>46092</v>
      </c>
      <c r="D74" s="4" t="s">
        <v>19</v>
      </c>
      <c r="E74" s="11">
        <v>624.59</v>
      </c>
      <c r="F74" s="25"/>
    </row>
    <row r="75" spans="1:6" x14ac:dyDescent="0.25">
      <c r="A75" s="25"/>
      <c r="B75" s="12">
        <v>1002</v>
      </c>
      <c r="C75" s="3">
        <v>46093</v>
      </c>
      <c r="D75" s="4" t="s">
        <v>14</v>
      </c>
      <c r="E75" s="11">
        <v>262.05</v>
      </c>
      <c r="F75" s="25"/>
    </row>
    <row r="76" spans="1:6" x14ac:dyDescent="0.25">
      <c r="A76" s="25"/>
      <c r="B76" s="12">
        <v>1201</v>
      </c>
      <c r="C76" s="3">
        <v>46093</v>
      </c>
      <c r="D76" s="4" t="s">
        <v>16</v>
      </c>
      <c r="E76" s="11">
        <v>123.61</v>
      </c>
      <c r="F76" s="25"/>
    </row>
    <row r="77" spans="1:6" x14ac:dyDescent="0.25">
      <c r="A77" s="25"/>
      <c r="B77" s="12">
        <v>1128</v>
      </c>
      <c r="C77" s="3">
        <v>46093</v>
      </c>
      <c r="D77" s="4" t="s">
        <v>18</v>
      </c>
      <c r="E77" s="11">
        <v>53.37</v>
      </c>
      <c r="F77" s="25"/>
    </row>
    <row r="78" spans="1:6" x14ac:dyDescent="0.25">
      <c r="A78" s="25"/>
      <c r="B78" s="12">
        <v>1179</v>
      </c>
      <c r="C78" s="3">
        <v>46095</v>
      </c>
      <c r="D78" s="4" t="s">
        <v>17</v>
      </c>
      <c r="E78" s="11">
        <v>680.66</v>
      </c>
      <c r="F78" s="25"/>
    </row>
    <row r="79" spans="1:6" x14ac:dyDescent="0.25">
      <c r="A79" s="25"/>
      <c r="B79" s="12">
        <v>1174</v>
      </c>
      <c r="C79" s="3">
        <v>46096</v>
      </c>
      <c r="D79" s="4" t="s">
        <v>14</v>
      </c>
      <c r="E79" s="11">
        <v>458.39</v>
      </c>
      <c r="F79" s="25"/>
    </row>
    <row r="80" spans="1:6" x14ac:dyDescent="0.25">
      <c r="A80" s="25"/>
      <c r="B80" s="12">
        <v>1202</v>
      </c>
      <c r="C80" s="3">
        <v>46096</v>
      </c>
      <c r="D80" s="4" t="s">
        <v>14</v>
      </c>
      <c r="E80" s="11">
        <v>308.13</v>
      </c>
      <c r="F80" s="25"/>
    </row>
    <row r="81" spans="1:6" x14ac:dyDescent="0.25">
      <c r="A81" s="25"/>
      <c r="B81" s="12">
        <v>1021</v>
      </c>
      <c r="C81" s="3">
        <v>46097</v>
      </c>
      <c r="D81" s="4" t="s">
        <v>18</v>
      </c>
      <c r="E81" s="11">
        <v>862.55</v>
      </c>
      <c r="F81" s="25"/>
    </row>
    <row r="82" spans="1:6" x14ac:dyDescent="0.25">
      <c r="A82" s="25"/>
      <c r="B82" s="12">
        <v>1098</v>
      </c>
      <c r="C82" s="3">
        <v>46098</v>
      </c>
      <c r="D82" s="4" t="s">
        <v>14</v>
      </c>
      <c r="E82" s="11">
        <v>970.27</v>
      </c>
      <c r="F82" s="25"/>
    </row>
    <row r="83" spans="1:6" x14ac:dyDescent="0.25">
      <c r="A83" s="25"/>
      <c r="B83" s="12">
        <v>1169</v>
      </c>
      <c r="C83" s="3">
        <v>46098</v>
      </c>
      <c r="D83" s="4" t="s">
        <v>17</v>
      </c>
      <c r="E83" s="11">
        <v>170.92</v>
      </c>
      <c r="F83" s="25"/>
    </row>
    <row r="84" spans="1:6" x14ac:dyDescent="0.25">
      <c r="A84" s="25"/>
      <c r="B84" s="12">
        <v>1112</v>
      </c>
      <c r="C84" s="3">
        <v>46099</v>
      </c>
      <c r="D84" s="4" t="s">
        <v>16</v>
      </c>
      <c r="E84" s="11">
        <v>350.37</v>
      </c>
      <c r="F84" s="25"/>
    </row>
    <row r="85" spans="1:6" x14ac:dyDescent="0.25">
      <c r="A85" s="25"/>
      <c r="B85" s="12">
        <v>1167</v>
      </c>
      <c r="C85" s="3">
        <v>46099</v>
      </c>
      <c r="D85" s="4" t="s">
        <v>17</v>
      </c>
      <c r="E85" s="11">
        <v>343.82</v>
      </c>
      <c r="F85" s="25"/>
    </row>
    <row r="86" spans="1:6" x14ac:dyDescent="0.25">
      <c r="A86" s="25"/>
      <c r="B86" s="12">
        <v>1058</v>
      </c>
      <c r="C86" s="3">
        <v>46101</v>
      </c>
      <c r="D86" s="4" t="s">
        <v>14</v>
      </c>
      <c r="E86" s="11">
        <v>105.03</v>
      </c>
      <c r="F86" s="25"/>
    </row>
    <row r="87" spans="1:6" x14ac:dyDescent="0.25">
      <c r="A87" s="25"/>
      <c r="B87" s="12">
        <v>1034</v>
      </c>
      <c r="C87" s="3">
        <v>46103</v>
      </c>
      <c r="D87" s="4" t="s">
        <v>14</v>
      </c>
      <c r="E87" s="11">
        <v>672.67</v>
      </c>
      <c r="F87" s="25"/>
    </row>
    <row r="88" spans="1:6" x14ac:dyDescent="0.25">
      <c r="A88" s="25"/>
      <c r="B88" s="12">
        <v>1158</v>
      </c>
      <c r="C88" s="3">
        <v>46103</v>
      </c>
      <c r="D88" s="4" t="s">
        <v>16</v>
      </c>
      <c r="E88" s="11">
        <v>625.9</v>
      </c>
      <c r="F88" s="25"/>
    </row>
    <row r="89" spans="1:6" x14ac:dyDescent="0.25">
      <c r="A89" s="25"/>
      <c r="B89" s="12">
        <v>1032</v>
      </c>
      <c r="C89" s="3">
        <v>46103</v>
      </c>
      <c r="D89" s="4" t="s">
        <v>16</v>
      </c>
      <c r="E89" s="11">
        <v>304.35000000000002</v>
      </c>
      <c r="F89" s="25"/>
    </row>
    <row r="90" spans="1:6" x14ac:dyDescent="0.25">
      <c r="A90" s="25"/>
      <c r="B90" s="12">
        <v>1109</v>
      </c>
      <c r="C90" s="3">
        <v>46103</v>
      </c>
      <c r="D90" s="4" t="s">
        <v>19</v>
      </c>
      <c r="E90" s="11">
        <v>244.05</v>
      </c>
      <c r="F90" s="25"/>
    </row>
    <row r="91" spans="1:6" x14ac:dyDescent="0.25">
      <c r="A91" s="25"/>
      <c r="B91" s="12">
        <v>1100</v>
      </c>
      <c r="C91" s="3">
        <v>46103</v>
      </c>
      <c r="D91" s="4" t="s">
        <v>18</v>
      </c>
      <c r="E91" s="11">
        <v>97.64</v>
      </c>
      <c r="F91" s="25"/>
    </row>
    <row r="92" spans="1:6" x14ac:dyDescent="0.25">
      <c r="A92" s="25"/>
      <c r="B92" s="12">
        <v>1203</v>
      </c>
      <c r="C92" s="3">
        <v>46104</v>
      </c>
      <c r="D92" s="4" t="s">
        <v>17</v>
      </c>
      <c r="E92" s="11">
        <v>126.55</v>
      </c>
      <c r="F92" s="25"/>
    </row>
    <row r="93" spans="1:6" x14ac:dyDescent="0.25">
      <c r="A93" s="25"/>
      <c r="B93" s="12">
        <v>1013</v>
      </c>
      <c r="C93" s="3">
        <v>46109</v>
      </c>
      <c r="D93" s="4" t="s">
        <v>18</v>
      </c>
      <c r="E93" s="11">
        <v>138.11000000000001</v>
      </c>
      <c r="F93" s="25"/>
    </row>
    <row r="94" spans="1:6" x14ac:dyDescent="0.25">
      <c r="A94" s="25"/>
      <c r="B94" s="12">
        <v>1116</v>
      </c>
      <c r="C94" s="3">
        <v>46112</v>
      </c>
      <c r="D94" s="4" t="s">
        <v>18</v>
      </c>
      <c r="E94" s="11">
        <v>885.31</v>
      </c>
      <c r="F94" s="25"/>
    </row>
    <row r="95" spans="1:6" x14ac:dyDescent="0.25">
      <c r="A95" s="25"/>
      <c r="B95" s="12">
        <v>1019</v>
      </c>
      <c r="C95" s="3">
        <v>46115</v>
      </c>
      <c r="D95" s="4" t="s">
        <v>17</v>
      </c>
      <c r="E95" s="11">
        <v>232.67</v>
      </c>
      <c r="F95" s="25"/>
    </row>
    <row r="96" spans="1:6" x14ac:dyDescent="0.25">
      <c r="A96" s="25"/>
      <c r="B96" s="12">
        <v>1136</v>
      </c>
      <c r="C96" s="3">
        <v>46116</v>
      </c>
      <c r="D96" s="4" t="s">
        <v>6</v>
      </c>
      <c r="E96" s="11">
        <v>973.59</v>
      </c>
      <c r="F96" s="25"/>
    </row>
    <row r="97" spans="1:6" x14ac:dyDescent="0.25">
      <c r="A97" s="25"/>
      <c r="B97" s="12">
        <v>1164</v>
      </c>
      <c r="C97" s="3">
        <v>46116</v>
      </c>
      <c r="D97" s="4" t="s">
        <v>16</v>
      </c>
      <c r="E97" s="11">
        <v>116.48</v>
      </c>
      <c r="F97" s="25"/>
    </row>
    <row r="98" spans="1:6" x14ac:dyDescent="0.25">
      <c r="A98" s="25"/>
      <c r="B98" s="12">
        <v>1134</v>
      </c>
      <c r="C98" s="3">
        <v>46117</v>
      </c>
      <c r="D98" s="4" t="s">
        <v>17</v>
      </c>
      <c r="E98" s="11">
        <v>574.9</v>
      </c>
      <c r="F98" s="25"/>
    </row>
    <row r="99" spans="1:6" x14ac:dyDescent="0.25">
      <c r="A99" s="25"/>
      <c r="B99" s="12">
        <v>1024</v>
      </c>
      <c r="C99" s="3">
        <v>46117</v>
      </c>
      <c r="D99" s="4" t="s">
        <v>19</v>
      </c>
      <c r="E99" s="11">
        <v>249.03</v>
      </c>
      <c r="F99" s="25"/>
    </row>
    <row r="100" spans="1:6" x14ac:dyDescent="0.25">
      <c r="A100" s="25"/>
      <c r="B100" s="12">
        <v>1117</v>
      </c>
      <c r="C100" s="3">
        <v>46117</v>
      </c>
      <c r="D100" s="4" t="s">
        <v>19</v>
      </c>
      <c r="E100" s="11">
        <v>199.86</v>
      </c>
      <c r="F100" s="25"/>
    </row>
    <row r="101" spans="1:6" x14ac:dyDescent="0.25">
      <c r="A101" s="25"/>
      <c r="B101" s="12">
        <v>1017</v>
      </c>
      <c r="C101" s="3">
        <v>46119</v>
      </c>
      <c r="D101" s="4" t="s">
        <v>18</v>
      </c>
      <c r="E101" s="11">
        <v>574.44000000000005</v>
      </c>
      <c r="F101" s="25"/>
    </row>
    <row r="102" spans="1:6" x14ac:dyDescent="0.25">
      <c r="A102" s="25"/>
      <c r="B102" s="12">
        <v>1044</v>
      </c>
      <c r="C102" s="3">
        <v>46120</v>
      </c>
      <c r="D102" s="4" t="s">
        <v>17</v>
      </c>
      <c r="E102" s="11">
        <v>996.32</v>
      </c>
      <c r="F102" s="25"/>
    </row>
    <row r="103" spans="1:6" x14ac:dyDescent="0.25">
      <c r="A103" s="25"/>
      <c r="B103" s="12">
        <v>1147</v>
      </c>
      <c r="C103" s="3">
        <v>46120</v>
      </c>
      <c r="D103" s="4" t="s">
        <v>6</v>
      </c>
      <c r="E103" s="11">
        <v>86.79</v>
      </c>
      <c r="F103" s="25"/>
    </row>
    <row r="104" spans="1:6" x14ac:dyDescent="0.25">
      <c r="A104" s="25"/>
      <c r="B104" s="12">
        <v>1094</v>
      </c>
      <c r="C104" s="3">
        <v>46122</v>
      </c>
      <c r="D104" s="4" t="s">
        <v>19</v>
      </c>
      <c r="E104" s="11">
        <v>930.19</v>
      </c>
      <c r="F104" s="25"/>
    </row>
    <row r="105" spans="1:6" x14ac:dyDescent="0.25">
      <c r="A105" s="25"/>
      <c r="B105" s="12">
        <v>1111</v>
      </c>
      <c r="C105" s="3">
        <v>46124</v>
      </c>
      <c r="D105" s="4" t="s">
        <v>14</v>
      </c>
      <c r="E105" s="11">
        <v>688.11</v>
      </c>
      <c r="F105" s="25"/>
    </row>
    <row r="106" spans="1:6" x14ac:dyDescent="0.25">
      <c r="A106" s="25"/>
      <c r="B106" s="12">
        <v>1035</v>
      </c>
      <c r="C106" s="3">
        <v>46124</v>
      </c>
      <c r="D106" s="4" t="s">
        <v>15</v>
      </c>
      <c r="E106" s="11">
        <v>485.91</v>
      </c>
      <c r="F106" s="25"/>
    </row>
    <row r="107" spans="1:6" x14ac:dyDescent="0.25">
      <c r="A107" s="25"/>
      <c r="B107" s="12">
        <v>1039</v>
      </c>
      <c r="C107" s="3">
        <v>46125</v>
      </c>
      <c r="D107" s="4" t="s">
        <v>19</v>
      </c>
      <c r="E107" s="11">
        <v>258.35000000000002</v>
      </c>
      <c r="F107" s="25"/>
    </row>
    <row r="108" spans="1:6" x14ac:dyDescent="0.25">
      <c r="A108" s="25"/>
      <c r="B108" s="12">
        <v>1168</v>
      </c>
      <c r="C108" s="3">
        <v>46127</v>
      </c>
      <c r="D108" s="4" t="s">
        <v>19</v>
      </c>
      <c r="E108" s="11">
        <v>432.28</v>
      </c>
      <c r="F108" s="25"/>
    </row>
    <row r="109" spans="1:6" x14ac:dyDescent="0.25">
      <c r="A109" s="25"/>
      <c r="B109" s="12">
        <v>1078</v>
      </c>
      <c r="C109" s="3">
        <v>46127</v>
      </c>
      <c r="D109" s="4" t="s">
        <v>14</v>
      </c>
      <c r="E109" s="11">
        <v>139.61000000000001</v>
      </c>
      <c r="F109" s="25"/>
    </row>
    <row r="110" spans="1:6" x14ac:dyDescent="0.25">
      <c r="A110" s="25"/>
      <c r="B110" s="12">
        <v>1080</v>
      </c>
      <c r="C110" s="3">
        <v>46128</v>
      </c>
      <c r="D110" s="4" t="s">
        <v>16</v>
      </c>
      <c r="E110" s="11">
        <v>870.64</v>
      </c>
      <c r="F110" s="25"/>
    </row>
    <row r="111" spans="1:6" x14ac:dyDescent="0.25">
      <c r="A111" s="25"/>
      <c r="B111" s="12">
        <v>1144</v>
      </c>
      <c r="C111" s="3">
        <v>46128</v>
      </c>
      <c r="D111" s="4" t="s">
        <v>6</v>
      </c>
      <c r="E111" s="11">
        <v>686.41</v>
      </c>
      <c r="F111" s="25"/>
    </row>
    <row r="112" spans="1:6" x14ac:dyDescent="0.25">
      <c r="A112" s="25"/>
      <c r="B112" s="12">
        <v>1206</v>
      </c>
      <c r="C112" s="3">
        <v>46129</v>
      </c>
      <c r="D112" s="4" t="s">
        <v>16</v>
      </c>
      <c r="E112" s="11">
        <v>364.34</v>
      </c>
      <c r="F112" s="25"/>
    </row>
    <row r="113" spans="1:6" x14ac:dyDescent="0.25">
      <c r="A113" s="25"/>
      <c r="B113" s="12">
        <v>1170</v>
      </c>
      <c r="C113" s="3">
        <v>46130</v>
      </c>
      <c r="D113" s="4" t="s">
        <v>15</v>
      </c>
      <c r="E113" s="11">
        <v>943.35</v>
      </c>
      <c r="F113" s="25"/>
    </row>
    <row r="114" spans="1:6" x14ac:dyDescent="0.25">
      <c r="A114" s="25"/>
      <c r="B114" s="12">
        <v>1208</v>
      </c>
      <c r="C114" s="3">
        <v>46130</v>
      </c>
      <c r="D114" s="4" t="s">
        <v>16</v>
      </c>
      <c r="E114" s="11">
        <v>909.6</v>
      </c>
      <c r="F114" s="25"/>
    </row>
    <row r="115" spans="1:6" x14ac:dyDescent="0.25">
      <c r="A115" s="25"/>
      <c r="B115" s="12">
        <v>1043</v>
      </c>
      <c r="C115" s="3">
        <v>46131</v>
      </c>
      <c r="D115" s="4" t="s">
        <v>17</v>
      </c>
      <c r="E115" s="11">
        <v>110.35</v>
      </c>
      <c r="F115" s="25"/>
    </row>
    <row r="116" spans="1:6" x14ac:dyDescent="0.25">
      <c r="A116" s="25"/>
      <c r="B116" s="12">
        <v>1135</v>
      </c>
      <c r="C116" s="3">
        <v>46133</v>
      </c>
      <c r="D116" s="4" t="s">
        <v>14</v>
      </c>
      <c r="E116" s="11">
        <v>89.74</v>
      </c>
      <c r="F116" s="25"/>
    </row>
    <row r="117" spans="1:6" x14ac:dyDescent="0.25">
      <c r="A117" s="25"/>
      <c r="B117" s="12">
        <v>1157</v>
      </c>
      <c r="C117" s="3">
        <v>46134</v>
      </c>
      <c r="D117" s="4" t="s">
        <v>19</v>
      </c>
      <c r="E117" s="11">
        <v>742.12</v>
      </c>
      <c r="F117" s="25"/>
    </row>
    <row r="118" spans="1:6" x14ac:dyDescent="0.25">
      <c r="A118" s="25"/>
      <c r="B118" s="12">
        <v>1049</v>
      </c>
      <c r="C118" s="3">
        <v>46134</v>
      </c>
      <c r="D118" s="4" t="s">
        <v>14</v>
      </c>
      <c r="E118" s="11">
        <v>481.04</v>
      </c>
      <c r="F118" s="25"/>
    </row>
    <row r="119" spans="1:6" x14ac:dyDescent="0.25">
      <c r="A119" s="25"/>
      <c r="B119" s="12">
        <v>1195</v>
      </c>
      <c r="C119" s="3">
        <v>46136</v>
      </c>
      <c r="D119" s="4" t="s">
        <v>17</v>
      </c>
      <c r="E119" s="11">
        <v>824.26</v>
      </c>
      <c r="F119" s="25"/>
    </row>
    <row r="120" spans="1:6" x14ac:dyDescent="0.25">
      <c r="A120" s="25"/>
      <c r="B120" s="12">
        <v>1009</v>
      </c>
      <c r="C120" s="3">
        <v>46137</v>
      </c>
      <c r="D120" s="4" t="s">
        <v>17</v>
      </c>
      <c r="E120" s="11">
        <v>314.27999999999997</v>
      </c>
      <c r="F120" s="25"/>
    </row>
    <row r="121" spans="1:6" x14ac:dyDescent="0.25">
      <c r="A121" s="25"/>
      <c r="B121" s="12">
        <v>1095</v>
      </c>
      <c r="C121" s="3">
        <v>46139</v>
      </c>
      <c r="D121" s="4" t="s">
        <v>19</v>
      </c>
      <c r="E121" s="11">
        <v>451.86</v>
      </c>
      <c r="F121" s="25"/>
    </row>
    <row r="122" spans="1:6" x14ac:dyDescent="0.25">
      <c r="A122" s="25"/>
      <c r="B122" s="12">
        <v>1149</v>
      </c>
      <c r="C122" s="3">
        <v>46140</v>
      </c>
      <c r="D122" s="4" t="s">
        <v>19</v>
      </c>
      <c r="E122" s="11">
        <v>339.93</v>
      </c>
      <c r="F122" s="25"/>
    </row>
    <row r="123" spans="1:6" x14ac:dyDescent="0.25">
      <c r="A123" s="25"/>
      <c r="B123" s="12">
        <v>1176</v>
      </c>
      <c r="C123" s="3">
        <v>46142</v>
      </c>
      <c r="D123" s="4" t="s">
        <v>16</v>
      </c>
      <c r="E123" s="11">
        <v>470.05</v>
      </c>
      <c r="F123" s="25"/>
    </row>
    <row r="124" spans="1:6" x14ac:dyDescent="0.25">
      <c r="A124" s="25"/>
      <c r="B124" s="12">
        <v>1207</v>
      </c>
      <c r="C124" s="3">
        <v>46142</v>
      </c>
      <c r="D124" s="4" t="s">
        <v>16</v>
      </c>
      <c r="E124" s="11">
        <v>109.15</v>
      </c>
      <c r="F124" s="25"/>
    </row>
    <row r="125" spans="1:6" x14ac:dyDescent="0.25">
      <c r="A125" s="25"/>
      <c r="B125" s="12">
        <v>1148</v>
      </c>
      <c r="C125" s="3">
        <v>46143</v>
      </c>
      <c r="D125" s="4" t="s">
        <v>14</v>
      </c>
      <c r="E125" s="11">
        <v>239.59</v>
      </c>
      <c r="F125" s="25"/>
    </row>
    <row r="126" spans="1:6" x14ac:dyDescent="0.25">
      <c r="A126" s="25"/>
      <c r="B126" s="12">
        <v>1198</v>
      </c>
      <c r="C126" s="3">
        <v>46144</v>
      </c>
      <c r="D126" s="4" t="s">
        <v>16</v>
      </c>
      <c r="E126" s="11">
        <v>296.23</v>
      </c>
      <c r="F126" s="25"/>
    </row>
    <row r="127" spans="1:6" x14ac:dyDescent="0.25">
      <c r="A127" s="25"/>
      <c r="B127" s="12">
        <v>1101</v>
      </c>
      <c r="C127" s="3">
        <v>46145</v>
      </c>
      <c r="D127" s="4" t="s">
        <v>17</v>
      </c>
      <c r="E127" s="11">
        <v>923.42</v>
      </c>
      <c r="F127" s="25"/>
    </row>
    <row r="128" spans="1:6" x14ac:dyDescent="0.25">
      <c r="A128" s="25"/>
      <c r="B128" s="12">
        <v>1075</v>
      </c>
      <c r="C128" s="3">
        <v>46147</v>
      </c>
      <c r="D128" s="4" t="s">
        <v>14</v>
      </c>
      <c r="E128" s="11">
        <v>562.27</v>
      </c>
      <c r="F128" s="25"/>
    </row>
    <row r="129" spans="1:6" x14ac:dyDescent="0.25">
      <c r="A129" s="25"/>
      <c r="B129" s="12">
        <v>1060</v>
      </c>
      <c r="C129" s="3">
        <v>46147</v>
      </c>
      <c r="D129" s="4" t="s">
        <v>6</v>
      </c>
      <c r="E129" s="11">
        <v>115.75</v>
      </c>
      <c r="F129" s="25"/>
    </row>
    <row r="130" spans="1:6" x14ac:dyDescent="0.25">
      <c r="A130" s="25"/>
      <c r="B130" s="12">
        <v>1126</v>
      </c>
      <c r="C130" s="3">
        <v>46148</v>
      </c>
      <c r="D130" s="4" t="s">
        <v>19</v>
      </c>
      <c r="E130" s="11">
        <v>910.07</v>
      </c>
      <c r="F130" s="25"/>
    </row>
    <row r="131" spans="1:6" x14ac:dyDescent="0.25">
      <c r="A131" s="25"/>
      <c r="B131" s="12">
        <v>1051</v>
      </c>
      <c r="C131" s="3">
        <v>46151</v>
      </c>
      <c r="D131" s="4" t="s">
        <v>6</v>
      </c>
      <c r="E131" s="11">
        <v>219.72</v>
      </c>
      <c r="F131" s="25"/>
    </row>
    <row r="132" spans="1:6" x14ac:dyDescent="0.25">
      <c r="A132" s="25"/>
      <c r="B132" s="12">
        <v>1196</v>
      </c>
      <c r="C132" s="3">
        <v>46152</v>
      </c>
      <c r="D132" s="4" t="s">
        <v>16</v>
      </c>
      <c r="E132" s="11">
        <v>839.04</v>
      </c>
      <c r="F132" s="25"/>
    </row>
    <row r="133" spans="1:6" x14ac:dyDescent="0.25">
      <c r="A133" s="25"/>
      <c r="B133" s="12">
        <v>1103</v>
      </c>
      <c r="C133" s="3">
        <v>46153</v>
      </c>
      <c r="D133" s="4" t="s">
        <v>18</v>
      </c>
      <c r="E133" s="11">
        <v>858.78</v>
      </c>
      <c r="F133" s="25"/>
    </row>
    <row r="134" spans="1:6" x14ac:dyDescent="0.25">
      <c r="A134" s="25"/>
      <c r="B134" s="12">
        <v>1159</v>
      </c>
      <c r="C134" s="3">
        <v>46153</v>
      </c>
      <c r="D134" s="4" t="s">
        <v>18</v>
      </c>
      <c r="E134" s="11">
        <v>415.94</v>
      </c>
      <c r="F134" s="25"/>
    </row>
    <row r="135" spans="1:6" x14ac:dyDescent="0.25">
      <c r="A135" s="25"/>
      <c r="B135" s="12">
        <v>1074</v>
      </c>
      <c r="C135" s="3">
        <v>46154</v>
      </c>
      <c r="D135" s="4" t="s">
        <v>14</v>
      </c>
      <c r="E135" s="11">
        <v>314.55</v>
      </c>
      <c r="F135" s="25"/>
    </row>
    <row r="136" spans="1:6" x14ac:dyDescent="0.25">
      <c r="A136" s="25"/>
      <c r="B136" s="12">
        <v>1068</v>
      </c>
      <c r="C136" s="3">
        <v>46155</v>
      </c>
      <c r="D136" s="4" t="s">
        <v>16</v>
      </c>
      <c r="E136" s="11">
        <v>164.95</v>
      </c>
      <c r="F136" s="25"/>
    </row>
    <row r="137" spans="1:6" x14ac:dyDescent="0.25">
      <c r="A137" s="25"/>
      <c r="B137" s="12">
        <v>1191</v>
      </c>
      <c r="C137" s="3">
        <v>46155</v>
      </c>
      <c r="D137" s="4" t="s">
        <v>16</v>
      </c>
      <c r="E137" s="11">
        <v>97.71</v>
      </c>
      <c r="F137" s="25"/>
    </row>
    <row r="138" spans="1:6" x14ac:dyDescent="0.25">
      <c r="A138" s="25"/>
      <c r="B138" s="12">
        <v>1200</v>
      </c>
      <c r="C138" s="3">
        <v>46156</v>
      </c>
      <c r="D138" s="4" t="s">
        <v>16</v>
      </c>
      <c r="E138" s="11">
        <v>645.41</v>
      </c>
      <c r="F138" s="25"/>
    </row>
    <row r="139" spans="1:6" x14ac:dyDescent="0.25">
      <c r="A139" s="25"/>
      <c r="B139" s="12">
        <v>1045</v>
      </c>
      <c r="C139" s="3">
        <v>46158</v>
      </c>
      <c r="D139" s="4" t="s">
        <v>19</v>
      </c>
      <c r="E139" s="11">
        <v>972.52</v>
      </c>
      <c r="F139" s="25"/>
    </row>
    <row r="140" spans="1:6" x14ac:dyDescent="0.25">
      <c r="A140" s="25"/>
      <c r="B140" s="12">
        <v>1194</v>
      </c>
      <c r="C140" s="3">
        <v>46158</v>
      </c>
      <c r="D140" s="4" t="s">
        <v>17</v>
      </c>
      <c r="E140" s="11">
        <v>615.67999999999995</v>
      </c>
      <c r="F140" s="25"/>
    </row>
    <row r="141" spans="1:6" x14ac:dyDescent="0.25">
      <c r="A141" s="25"/>
      <c r="B141" s="12">
        <v>1102</v>
      </c>
      <c r="C141" s="3">
        <v>46158</v>
      </c>
      <c r="D141" s="4" t="s">
        <v>14</v>
      </c>
      <c r="E141" s="11">
        <v>104.04</v>
      </c>
      <c r="F141" s="25"/>
    </row>
    <row r="142" spans="1:6" x14ac:dyDescent="0.25">
      <c r="A142" s="25"/>
      <c r="B142" s="12">
        <v>1061</v>
      </c>
      <c r="C142" s="3">
        <v>46159</v>
      </c>
      <c r="D142" s="4" t="s">
        <v>6</v>
      </c>
      <c r="E142" s="11">
        <v>169.47</v>
      </c>
      <c r="F142" s="25"/>
    </row>
    <row r="143" spans="1:6" x14ac:dyDescent="0.25">
      <c r="A143" s="25"/>
      <c r="B143" s="12">
        <v>1154</v>
      </c>
      <c r="C143" s="3">
        <v>46160</v>
      </c>
      <c r="D143" s="4" t="s">
        <v>19</v>
      </c>
      <c r="E143" s="11">
        <v>942.28</v>
      </c>
      <c r="F143" s="25"/>
    </row>
    <row r="144" spans="1:6" x14ac:dyDescent="0.25">
      <c r="A144" s="25"/>
      <c r="B144" s="12">
        <v>1162</v>
      </c>
      <c r="C144" s="3">
        <v>46160</v>
      </c>
      <c r="D144" s="4" t="s">
        <v>15</v>
      </c>
      <c r="E144" s="11">
        <v>733.46</v>
      </c>
      <c r="F144" s="25"/>
    </row>
    <row r="145" spans="1:6" x14ac:dyDescent="0.25">
      <c r="A145" s="25"/>
      <c r="B145" s="12">
        <v>1085</v>
      </c>
      <c r="C145" s="3">
        <v>46160</v>
      </c>
      <c r="D145" s="4" t="s">
        <v>16</v>
      </c>
      <c r="E145" s="11">
        <v>183.17</v>
      </c>
      <c r="F145" s="25"/>
    </row>
    <row r="146" spans="1:6" x14ac:dyDescent="0.25">
      <c r="A146" s="25"/>
      <c r="B146" s="12">
        <v>1055</v>
      </c>
      <c r="C146" s="3">
        <v>46161</v>
      </c>
      <c r="D146" s="4" t="s">
        <v>6</v>
      </c>
      <c r="E146" s="11">
        <v>926.31</v>
      </c>
      <c r="F146" s="25"/>
    </row>
    <row r="147" spans="1:6" x14ac:dyDescent="0.25">
      <c r="A147" s="25"/>
      <c r="B147" s="12">
        <v>1065</v>
      </c>
      <c r="C147" s="3">
        <v>46161</v>
      </c>
      <c r="D147" s="4" t="s">
        <v>6</v>
      </c>
      <c r="E147" s="11">
        <v>743.43</v>
      </c>
      <c r="F147" s="25"/>
    </row>
    <row r="148" spans="1:6" x14ac:dyDescent="0.25">
      <c r="A148" s="25"/>
      <c r="B148" s="12">
        <v>1089</v>
      </c>
      <c r="C148" s="3">
        <v>46161</v>
      </c>
      <c r="D148" s="4" t="s">
        <v>6</v>
      </c>
      <c r="E148" s="11">
        <v>64.02</v>
      </c>
      <c r="F148" s="25"/>
    </row>
    <row r="149" spans="1:6" x14ac:dyDescent="0.25">
      <c r="A149" s="25"/>
      <c r="B149" s="12">
        <v>1004</v>
      </c>
      <c r="C149" s="3">
        <v>46162</v>
      </c>
      <c r="D149" s="4" t="s">
        <v>18</v>
      </c>
      <c r="E149" s="11">
        <v>610.97</v>
      </c>
      <c r="F149" s="25"/>
    </row>
    <row r="150" spans="1:6" x14ac:dyDescent="0.25">
      <c r="A150" s="25"/>
      <c r="B150" s="12">
        <v>1118</v>
      </c>
      <c r="C150" s="3">
        <v>46162</v>
      </c>
      <c r="D150" s="4" t="s">
        <v>15</v>
      </c>
      <c r="E150" s="11">
        <v>337.39</v>
      </c>
      <c r="F150" s="25"/>
    </row>
    <row r="151" spans="1:6" x14ac:dyDescent="0.25">
      <c r="A151" s="25"/>
      <c r="B151" s="12">
        <v>1197</v>
      </c>
      <c r="C151" s="3">
        <v>46163</v>
      </c>
      <c r="D151" s="4" t="s">
        <v>16</v>
      </c>
      <c r="E151" s="11">
        <v>902.35</v>
      </c>
      <c r="F151" s="25"/>
    </row>
    <row r="152" spans="1:6" x14ac:dyDescent="0.25">
      <c r="A152" s="25"/>
      <c r="B152" s="12">
        <v>1088</v>
      </c>
      <c r="C152" s="3">
        <v>46163</v>
      </c>
      <c r="D152" s="4" t="s">
        <v>18</v>
      </c>
      <c r="E152" s="11">
        <v>98.06</v>
      </c>
      <c r="F152" s="25"/>
    </row>
    <row r="153" spans="1:6" x14ac:dyDescent="0.25">
      <c r="A153" s="25"/>
      <c r="B153" s="12">
        <v>1173</v>
      </c>
      <c r="C153" s="3">
        <v>46163</v>
      </c>
      <c r="D153" s="4" t="s">
        <v>6</v>
      </c>
      <c r="E153" s="11">
        <v>50.39</v>
      </c>
      <c r="F153" s="25"/>
    </row>
    <row r="154" spans="1:6" x14ac:dyDescent="0.25">
      <c r="A154" s="25"/>
      <c r="B154" s="12">
        <v>1120</v>
      </c>
      <c r="C154" s="3">
        <v>46164</v>
      </c>
      <c r="D154" s="4" t="s">
        <v>19</v>
      </c>
      <c r="E154" s="11">
        <v>935.17</v>
      </c>
      <c r="F154" s="25"/>
    </row>
    <row r="155" spans="1:6" x14ac:dyDescent="0.25">
      <c r="A155" s="25"/>
      <c r="B155" s="12">
        <v>1007</v>
      </c>
      <c r="C155" s="3">
        <v>46166</v>
      </c>
      <c r="D155" s="4" t="s">
        <v>14</v>
      </c>
      <c r="E155" s="11">
        <v>730.22</v>
      </c>
      <c r="F155" s="25"/>
    </row>
    <row r="156" spans="1:6" x14ac:dyDescent="0.25">
      <c r="A156" s="25"/>
      <c r="B156" s="12">
        <v>1139</v>
      </c>
      <c r="C156" s="3">
        <v>46166</v>
      </c>
      <c r="D156" s="4" t="s">
        <v>6</v>
      </c>
      <c r="E156" s="11">
        <v>436.06</v>
      </c>
      <c r="F156" s="25"/>
    </row>
    <row r="157" spans="1:6" x14ac:dyDescent="0.25">
      <c r="A157" s="25"/>
      <c r="B157" s="12">
        <v>1037</v>
      </c>
      <c r="C157" s="3">
        <v>46166</v>
      </c>
      <c r="D157" s="4" t="s">
        <v>17</v>
      </c>
      <c r="E157" s="11">
        <v>299.60000000000002</v>
      </c>
      <c r="F157" s="25"/>
    </row>
    <row r="158" spans="1:6" x14ac:dyDescent="0.25">
      <c r="A158" s="25"/>
      <c r="B158" s="12">
        <v>1114</v>
      </c>
      <c r="C158" s="3">
        <v>46167</v>
      </c>
      <c r="D158" s="4" t="s">
        <v>18</v>
      </c>
      <c r="E158" s="11">
        <v>119.6</v>
      </c>
      <c r="F158" s="25"/>
    </row>
    <row r="159" spans="1:6" x14ac:dyDescent="0.25">
      <c r="A159" s="25"/>
      <c r="B159" s="12">
        <v>1106</v>
      </c>
      <c r="C159" s="3">
        <v>46168</v>
      </c>
      <c r="D159" s="4" t="s">
        <v>14</v>
      </c>
      <c r="E159" s="11">
        <v>599.97</v>
      </c>
      <c r="F159" s="25"/>
    </row>
    <row r="160" spans="1:6" x14ac:dyDescent="0.25">
      <c r="A160" s="25"/>
      <c r="B160" s="12">
        <v>1059</v>
      </c>
      <c r="C160" s="3">
        <v>46168</v>
      </c>
      <c r="D160" s="4" t="s">
        <v>18</v>
      </c>
      <c r="E160" s="11">
        <v>131.37</v>
      </c>
      <c r="F160" s="25"/>
    </row>
    <row r="161" spans="1:6" x14ac:dyDescent="0.25">
      <c r="A161" s="25"/>
      <c r="B161" s="12">
        <v>1210</v>
      </c>
      <c r="C161" s="3">
        <v>46170</v>
      </c>
      <c r="D161" s="4" t="s">
        <v>16</v>
      </c>
      <c r="E161" s="11">
        <v>503.13</v>
      </c>
      <c r="F161" s="25"/>
    </row>
    <row r="162" spans="1:6" x14ac:dyDescent="0.25">
      <c r="A162" s="25"/>
      <c r="B162" s="12">
        <v>1160</v>
      </c>
      <c r="C162" s="3">
        <v>46170</v>
      </c>
      <c r="D162" s="4" t="s">
        <v>14</v>
      </c>
      <c r="E162" s="11">
        <v>291.99</v>
      </c>
      <c r="F162" s="25"/>
    </row>
    <row r="163" spans="1:6" x14ac:dyDescent="0.25">
      <c r="A163" s="25"/>
      <c r="B163" s="12">
        <v>1175</v>
      </c>
      <c r="C163" s="3">
        <v>46171</v>
      </c>
      <c r="D163" s="4" t="s">
        <v>17</v>
      </c>
      <c r="E163" s="11">
        <v>671.97</v>
      </c>
      <c r="F163" s="25"/>
    </row>
    <row r="164" spans="1:6" x14ac:dyDescent="0.25">
      <c r="A164" s="25"/>
      <c r="B164" s="12">
        <v>1099</v>
      </c>
      <c r="C164" s="3">
        <v>46171</v>
      </c>
      <c r="D164" s="4" t="s">
        <v>15</v>
      </c>
      <c r="E164" s="11">
        <v>565.09</v>
      </c>
      <c r="F164" s="25"/>
    </row>
    <row r="165" spans="1:6" x14ac:dyDescent="0.25">
      <c r="A165" s="25"/>
      <c r="B165" s="12">
        <v>1038</v>
      </c>
      <c r="C165" s="3">
        <v>46172</v>
      </c>
      <c r="D165" s="4" t="s">
        <v>16</v>
      </c>
      <c r="E165" s="11">
        <v>902.93</v>
      </c>
      <c r="F165" s="25"/>
    </row>
    <row r="166" spans="1:6" x14ac:dyDescent="0.25">
      <c r="A166" s="25"/>
      <c r="B166" s="12">
        <v>1209</v>
      </c>
      <c r="C166" s="3">
        <v>46172</v>
      </c>
      <c r="D166" s="4" t="s">
        <v>15</v>
      </c>
      <c r="E166" s="11">
        <v>68.56</v>
      </c>
      <c r="F166" s="25"/>
    </row>
    <row r="167" spans="1:6" x14ac:dyDescent="0.25">
      <c r="A167" s="25"/>
      <c r="B167" s="12">
        <v>1070</v>
      </c>
      <c r="C167" s="3">
        <v>46173</v>
      </c>
      <c r="D167" s="4" t="s">
        <v>17</v>
      </c>
      <c r="E167" s="11">
        <v>268.61</v>
      </c>
      <c r="F167" s="25"/>
    </row>
    <row r="168" spans="1:6" x14ac:dyDescent="0.25">
      <c r="A168" s="25"/>
      <c r="B168" s="12">
        <v>1015</v>
      </c>
      <c r="C168" s="3">
        <v>46177</v>
      </c>
      <c r="D168" s="4" t="s">
        <v>19</v>
      </c>
      <c r="E168" s="11">
        <v>816.77</v>
      </c>
      <c r="F168" s="25"/>
    </row>
    <row r="169" spans="1:6" x14ac:dyDescent="0.25">
      <c r="A169" s="25"/>
      <c r="B169" s="12">
        <v>1064</v>
      </c>
      <c r="C169" s="3">
        <v>46178</v>
      </c>
      <c r="D169" s="4" t="s">
        <v>16</v>
      </c>
      <c r="E169" s="11">
        <v>966.14</v>
      </c>
      <c r="F169" s="25"/>
    </row>
    <row r="170" spans="1:6" x14ac:dyDescent="0.25">
      <c r="A170" s="25"/>
      <c r="B170" s="12">
        <v>1172</v>
      </c>
      <c r="C170" s="3">
        <v>46180</v>
      </c>
      <c r="D170" s="4" t="s">
        <v>17</v>
      </c>
      <c r="E170" s="11">
        <v>335.9</v>
      </c>
      <c r="F170" s="25"/>
    </row>
    <row r="171" spans="1:6" x14ac:dyDescent="0.25">
      <c r="A171" s="25"/>
      <c r="B171" s="12">
        <v>1140</v>
      </c>
      <c r="C171" s="3">
        <v>46181</v>
      </c>
      <c r="D171" s="4" t="s">
        <v>15</v>
      </c>
      <c r="E171" s="11">
        <v>196.83</v>
      </c>
      <c r="F171" s="25"/>
    </row>
    <row r="172" spans="1:6" x14ac:dyDescent="0.25">
      <c r="A172" s="25"/>
      <c r="B172" s="12">
        <v>1180</v>
      </c>
      <c r="C172" s="3">
        <v>46181</v>
      </c>
      <c r="D172" s="4" t="s">
        <v>19</v>
      </c>
      <c r="E172" s="11">
        <v>138.72</v>
      </c>
      <c r="F172" s="25"/>
    </row>
    <row r="173" spans="1:6" x14ac:dyDescent="0.25">
      <c r="A173" s="25"/>
      <c r="B173" s="12">
        <v>1018</v>
      </c>
      <c r="C173" s="3">
        <v>46183</v>
      </c>
      <c r="D173" s="4" t="s">
        <v>17</v>
      </c>
      <c r="E173" s="11">
        <v>891.18</v>
      </c>
      <c r="F173" s="25"/>
    </row>
    <row r="174" spans="1:6" x14ac:dyDescent="0.25">
      <c r="A174" s="25"/>
      <c r="B174" s="12">
        <v>1042</v>
      </c>
      <c r="C174" s="3">
        <v>46183</v>
      </c>
      <c r="D174" s="4" t="s">
        <v>14</v>
      </c>
      <c r="E174" s="11">
        <v>802.48</v>
      </c>
      <c r="F174" s="25"/>
    </row>
    <row r="175" spans="1:6" x14ac:dyDescent="0.25">
      <c r="A175" s="25"/>
      <c r="B175" s="12">
        <v>1072</v>
      </c>
      <c r="C175" s="3">
        <v>46184</v>
      </c>
      <c r="D175" s="4" t="s">
        <v>18</v>
      </c>
      <c r="E175" s="11">
        <v>267.49</v>
      </c>
      <c r="F175" s="25"/>
    </row>
    <row r="176" spans="1:6" x14ac:dyDescent="0.25">
      <c r="A176" s="25"/>
      <c r="B176" s="12">
        <v>1185</v>
      </c>
      <c r="C176" s="3">
        <v>46184</v>
      </c>
      <c r="D176" s="4" t="s">
        <v>17</v>
      </c>
      <c r="E176" s="11">
        <v>234.71</v>
      </c>
      <c r="F176" s="25"/>
    </row>
    <row r="177" spans="1:6" x14ac:dyDescent="0.25">
      <c r="A177" s="25"/>
      <c r="B177" s="12">
        <v>1023</v>
      </c>
      <c r="C177" s="3">
        <v>46185</v>
      </c>
      <c r="D177" s="4" t="s">
        <v>6</v>
      </c>
      <c r="E177" s="11">
        <v>396.59</v>
      </c>
      <c r="F177" s="25"/>
    </row>
    <row r="178" spans="1:6" x14ac:dyDescent="0.25">
      <c r="A178" s="25"/>
      <c r="B178" s="12">
        <v>1125</v>
      </c>
      <c r="C178" s="3">
        <v>46185</v>
      </c>
      <c r="D178" s="4" t="s">
        <v>6</v>
      </c>
      <c r="E178" s="11">
        <v>300.77999999999997</v>
      </c>
      <c r="F178" s="25"/>
    </row>
    <row r="179" spans="1:6" x14ac:dyDescent="0.25">
      <c r="A179" s="25"/>
      <c r="B179" s="12">
        <v>1053</v>
      </c>
      <c r="C179" s="3">
        <v>46186</v>
      </c>
      <c r="D179" s="4" t="s">
        <v>17</v>
      </c>
      <c r="E179" s="11">
        <v>628.52</v>
      </c>
      <c r="F179" s="25"/>
    </row>
    <row r="180" spans="1:6" x14ac:dyDescent="0.25">
      <c r="A180" s="25"/>
      <c r="B180" s="12">
        <v>1029</v>
      </c>
      <c r="C180" s="3">
        <v>46186</v>
      </c>
      <c r="D180" s="4" t="s">
        <v>15</v>
      </c>
      <c r="E180" s="11">
        <v>579.1</v>
      </c>
      <c r="F180" s="25"/>
    </row>
    <row r="181" spans="1:6" x14ac:dyDescent="0.25">
      <c r="A181" s="25"/>
      <c r="B181" s="12">
        <v>1001</v>
      </c>
      <c r="C181" s="3">
        <v>46186</v>
      </c>
      <c r="D181" s="4" t="s">
        <v>18</v>
      </c>
      <c r="E181" s="11">
        <v>73.760000000000005</v>
      </c>
      <c r="F181" s="25"/>
    </row>
    <row r="182" spans="1:6" x14ac:dyDescent="0.25">
      <c r="A182" s="25"/>
      <c r="B182" s="12">
        <v>1153</v>
      </c>
      <c r="C182" s="3">
        <v>46187</v>
      </c>
      <c r="D182" s="4" t="s">
        <v>17</v>
      </c>
      <c r="E182" s="11">
        <v>429.69</v>
      </c>
      <c r="F182" s="25"/>
    </row>
    <row r="183" spans="1:6" x14ac:dyDescent="0.25">
      <c r="A183" s="25"/>
      <c r="B183" s="12">
        <v>1048</v>
      </c>
      <c r="C183" s="3">
        <v>46187</v>
      </c>
      <c r="D183" s="4" t="s">
        <v>19</v>
      </c>
      <c r="E183" s="11">
        <v>155.97</v>
      </c>
      <c r="F183" s="25"/>
    </row>
    <row r="184" spans="1:6" x14ac:dyDescent="0.25">
      <c r="A184" s="25"/>
      <c r="B184" s="12">
        <v>1026</v>
      </c>
      <c r="C184" s="3">
        <v>46188</v>
      </c>
      <c r="D184" s="4" t="s">
        <v>18</v>
      </c>
      <c r="E184" s="11">
        <v>628.66999999999996</v>
      </c>
      <c r="F184" s="25"/>
    </row>
    <row r="185" spans="1:6" x14ac:dyDescent="0.25">
      <c r="A185" s="25"/>
      <c r="B185" s="12">
        <v>1082</v>
      </c>
      <c r="C185" s="3">
        <v>46188</v>
      </c>
      <c r="D185" s="4" t="s">
        <v>18</v>
      </c>
      <c r="E185" s="11">
        <v>107.58</v>
      </c>
      <c r="F185" s="25"/>
    </row>
    <row r="186" spans="1:6" x14ac:dyDescent="0.25">
      <c r="A186" s="25"/>
      <c r="B186" s="12">
        <v>1119</v>
      </c>
      <c r="C186" s="3">
        <v>46190</v>
      </c>
      <c r="D186" s="4" t="s">
        <v>17</v>
      </c>
      <c r="E186" s="11">
        <v>57.43</v>
      </c>
      <c r="F186" s="25"/>
    </row>
    <row r="187" spans="1:6" x14ac:dyDescent="0.25">
      <c r="A187" s="25"/>
      <c r="B187" s="12">
        <v>1062</v>
      </c>
      <c r="C187" s="3">
        <v>46191</v>
      </c>
      <c r="D187" s="4" t="s">
        <v>16</v>
      </c>
      <c r="E187" s="11">
        <v>949.51</v>
      </c>
      <c r="F187" s="25"/>
    </row>
    <row r="188" spans="1:6" x14ac:dyDescent="0.25">
      <c r="A188" s="25"/>
      <c r="B188" s="12">
        <v>1108</v>
      </c>
      <c r="C188" s="3">
        <v>46191</v>
      </c>
      <c r="D188" s="4" t="s">
        <v>17</v>
      </c>
      <c r="E188" s="11">
        <v>586.97</v>
      </c>
      <c r="F188" s="25"/>
    </row>
    <row r="189" spans="1:6" x14ac:dyDescent="0.25">
      <c r="A189" s="25"/>
      <c r="B189" s="12">
        <v>1079</v>
      </c>
      <c r="C189" s="3">
        <v>46191</v>
      </c>
      <c r="D189" s="4" t="s">
        <v>16</v>
      </c>
      <c r="E189" s="11">
        <v>386.58</v>
      </c>
      <c r="F189" s="25"/>
    </row>
    <row r="190" spans="1:6" x14ac:dyDescent="0.25">
      <c r="A190" s="25"/>
      <c r="B190" s="12">
        <v>1166</v>
      </c>
      <c r="C190" s="3">
        <v>46192</v>
      </c>
      <c r="D190" s="4" t="s">
        <v>6</v>
      </c>
      <c r="E190" s="11">
        <v>168.39</v>
      </c>
      <c r="F190" s="25"/>
    </row>
    <row r="191" spans="1:6" x14ac:dyDescent="0.25">
      <c r="A191" s="25"/>
      <c r="B191" s="12">
        <v>1165</v>
      </c>
      <c r="C191" s="3">
        <v>46193</v>
      </c>
      <c r="D191" s="4" t="s">
        <v>19</v>
      </c>
      <c r="E191" s="11">
        <v>642</v>
      </c>
      <c r="F191" s="25"/>
    </row>
    <row r="192" spans="1:6" x14ac:dyDescent="0.25">
      <c r="A192" s="25"/>
      <c r="B192" s="12">
        <v>1067</v>
      </c>
      <c r="C192" s="3">
        <v>46194</v>
      </c>
      <c r="D192" s="4" t="s">
        <v>15</v>
      </c>
      <c r="E192" s="11">
        <v>404.75</v>
      </c>
      <c r="F192" s="25"/>
    </row>
    <row r="193" spans="1:6" x14ac:dyDescent="0.25">
      <c r="A193" s="25"/>
      <c r="B193" s="12">
        <v>1171</v>
      </c>
      <c r="C193" s="3">
        <v>46196</v>
      </c>
      <c r="D193" s="4" t="s">
        <v>15</v>
      </c>
      <c r="E193" s="11">
        <v>907.67</v>
      </c>
      <c r="F193" s="25"/>
    </row>
    <row r="194" spans="1:6" x14ac:dyDescent="0.25">
      <c r="A194" s="25"/>
      <c r="B194" s="12">
        <v>1047</v>
      </c>
      <c r="C194" s="3">
        <v>46197</v>
      </c>
      <c r="D194" s="4" t="s">
        <v>17</v>
      </c>
      <c r="E194" s="11">
        <v>763.33</v>
      </c>
      <c r="F194" s="25"/>
    </row>
    <row r="195" spans="1:6" x14ac:dyDescent="0.25">
      <c r="A195" s="25"/>
      <c r="B195" s="12">
        <v>1030</v>
      </c>
      <c r="C195" s="3">
        <v>46198</v>
      </c>
      <c r="D195" s="4" t="s">
        <v>19</v>
      </c>
      <c r="E195" s="11">
        <v>850.71</v>
      </c>
      <c r="F195" s="25"/>
    </row>
    <row r="196" spans="1:6" x14ac:dyDescent="0.25">
      <c r="A196" s="25"/>
      <c r="B196" s="12">
        <v>1133</v>
      </c>
      <c r="C196" s="3">
        <v>46199</v>
      </c>
      <c r="D196" s="4" t="s">
        <v>14</v>
      </c>
      <c r="E196" s="11">
        <v>568.30999999999995</v>
      </c>
      <c r="F196" s="25"/>
    </row>
    <row r="197" spans="1:6" x14ac:dyDescent="0.25">
      <c r="A197" s="25"/>
      <c r="B197" s="12">
        <v>1186</v>
      </c>
      <c r="C197" s="3">
        <v>46201</v>
      </c>
      <c r="D197" s="4" t="s">
        <v>16</v>
      </c>
      <c r="E197" s="11">
        <v>519.66</v>
      </c>
      <c r="F197" s="25"/>
    </row>
    <row r="198" spans="1:6" x14ac:dyDescent="0.25">
      <c r="A198" s="25"/>
      <c r="B198" s="12">
        <v>1011</v>
      </c>
      <c r="C198" s="3">
        <v>46201</v>
      </c>
      <c r="D198" s="4" t="s">
        <v>16</v>
      </c>
      <c r="E198" s="11">
        <v>373.24</v>
      </c>
      <c r="F198" s="25"/>
    </row>
    <row r="199" spans="1:6" x14ac:dyDescent="0.25">
      <c r="A199" s="25"/>
      <c r="B199" s="12">
        <v>1008</v>
      </c>
      <c r="C199" s="3">
        <v>46202</v>
      </c>
      <c r="D199" s="4" t="s">
        <v>17</v>
      </c>
      <c r="E199" s="11">
        <v>448.54</v>
      </c>
      <c r="F199" s="25"/>
    </row>
    <row r="200" spans="1:6" x14ac:dyDescent="0.25">
      <c r="A200" s="25"/>
      <c r="B200" s="12">
        <v>1131</v>
      </c>
      <c r="C200" s="3">
        <v>46203</v>
      </c>
      <c r="D200" s="4" t="s">
        <v>16</v>
      </c>
      <c r="E200" s="11">
        <v>582.86</v>
      </c>
      <c r="F200" s="25"/>
    </row>
    <row r="201" spans="1:6" x14ac:dyDescent="0.25">
      <c r="A201" s="25"/>
      <c r="B201" s="12">
        <v>1161</v>
      </c>
      <c r="C201" s="3">
        <v>46204</v>
      </c>
      <c r="D201" s="4" t="s">
        <v>16</v>
      </c>
      <c r="E201" s="11">
        <v>51.61</v>
      </c>
      <c r="F201" s="25"/>
    </row>
    <row r="202" spans="1:6" x14ac:dyDescent="0.25">
      <c r="A202" s="25"/>
      <c r="B202" s="12">
        <v>1110</v>
      </c>
      <c r="C202" s="3">
        <v>46206</v>
      </c>
      <c r="D202" s="4" t="s">
        <v>19</v>
      </c>
      <c r="E202" s="11">
        <v>276.75</v>
      </c>
      <c r="F202" s="25"/>
    </row>
    <row r="203" spans="1:6" x14ac:dyDescent="0.25">
      <c r="A203" s="25"/>
      <c r="B203" s="12">
        <v>1124</v>
      </c>
      <c r="C203" s="3">
        <v>46206</v>
      </c>
      <c r="D203" s="4" t="s">
        <v>19</v>
      </c>
      <c r="E203" s="11">
        <v>243.42</v>
      </c>
      <c r="F203" s="25"/>
    </row>
    <row r="204" spans="1:6" x14ac:dyDescent="0.25">
      <c r="A204" s="25"/>
      <c r="B204" s="12">
        <v>1097</v>
      </c>
      <c r="C204" s="3">
        <v>46206</v>
      </c>
      <c r="D204" s="4" t="s">
        <v>16</v>
      </c>
      <c r="E204" s="11">
        <v>197.06</v>
      </c>
      <c r="F204" s="25"/>
    </row>
    <row r="205" spans="1:6" x14ac:dyDescent="0.25">
      <c r="A205" s="25"/>
      <c r="B205" s="12">
        <v>1050</v>
      </c>
      <c r="C205" s="3">
        <v>46207</v>
      </c>
      <c r="D205" s="4" t="s">
        <v>15</v>
      </c>
      <c r="E205" s="11">
        <v>300.22000000000003</v>
      </c>
      <c r="F205" s="25"/>
    </row>
    <row r="206" spans="1:6" x14ac:dyDescent="0.25">
      <c r="A206" s="25"/>
      <c r="B206" s="12">
        <v>1076</v>
      </c>
      <c r="C206" s="3">
        <v>46208</v>
      </c>
      <c r="D206" s="4" t="s">
        <v>17</v>
      </c>
      <c r="E206" s="11">
        <v>597.4</v>
      </c>
      <c r="F206" s="25"/>
    </row>
    <row r="207" spans="1:6" x14ac:dyDescent="0.25">
      <c r="A207" s="25"/>
      <c r="B207" s="12">
        <v>1083</v>
      </c>
      <c r="C207" s="3">
        <v>46209</v>
      </c>
      <c r="D207" s="4" t="s">
        <v>19</v>
      </c>
      <c r="E207" s="11">
        <v>810.56</v>
      </c>
      <c r="F207" s="25"/>
    </row>
    <row r="208" spans="1:6" x14ac:dyDescent="0.25">
      <c r="A208" s="25"/>
      <c r="B208" s="12">
        <v>1016</v>
      </c>
      <c r="C208" s="3">
        <v>46209</v>
      </c>
      <c r="D208" s="4" t="s">
        <v>16</v>
      </c>
      <c r="E208" s="11">
        <v>559.41999999999996</v>
      </c>
      <c r="F208" s="25"/>
    </row>
    <row r="209" spans="1:6" x14ac:dyDescent="0.25">
      <c r="A209" s="25"/>
      <c r="B209" s="12">
        <v>1096</v>
      </c>
      <c r="C209" s="3">
        <v>46210</v>
      </c>
      <c r="D209" s="4" t="s">
        <v>6</v>
      </c>
      <c r="E209" s="11">
        <v>577.98</v>
      </c>
      <c r="F209" s="25"/>
    </row>
    <row r="210" spans="1:6" x14ac:dyDescent="0.25">
      <c r="A210" s="25"/>
      <c r="B210" s="12">
        <v>1143</v>
      </c>
      <c r="C210" s="3">
        <v>46211</v>
      </c>
      <c r="D210" s="4" t="s">
        <v>19</v>
      </c>
      <c r="E210" s="11">
        <v>793.27</v>
      </c>
      <c r="F210" s="25"/>
    </row>
    <row r="211" spans="1:6" x14ac:dyDescent="0.25">
      <c r="A211" s="25"/>
      <c r="B211" s="12">
        <v>1003</v>
      </c>
      <c r="C211" s="3">
        <v>46211</v>
      </c>
      <c r="D211" s="4" t="s">
        <v>18</v>
      </c>
      <c r="E211" s="11">
        <v>692.86</v>
      </c>
      <c r="F211" s="25"/>
    </row>
    <row r="212" spans="1:6" x14ac:dyDescent="0.25">
      <c r="A212" s="25"/>
      <c r="B212" s="12">
        <v>1178</v>
      </c>
      <c r="C212" s="3">
        <v>46211</v>
      </c>
      <c r="D212" s="4" t="s">
        <v>14</v>
      </c>
      <c r="E212" s="11">
        <v>675.91</v>
      </c>
      <c r="F212" s="25"/>
    </row>
    <row r="213" spans="1:6" x14ac:dyDescent="0.25">
      <c r="A213" s="25"/>
      <c r="B213" s="12">
        <v>1145</v>
      </c>
      <c r="C213" s="3">
        <v>46211</v>
      </c>
      <c r="D213" s="4" t="s">
        <v>6</v>
      </c>
      <c r="E213" s="11">
        <v>285.76</v>
      </c>
      <c r="F213" s="25"/>
    </row>
    <row r="214" spans="1:6" x14ac:dyDescent="0.25">
      <c r="A214" s="25"/>
      <c r="B214" s="12">
        <v>1163</v>
      </c>
      <c r="C214" s="3">
        <v>46212</v>
      </c>
      <c r="D214" s="4" t="s">
        <v>15</v>
      </c>
      <c r="E214" s="11">
        <v>687.1</v>
      </c>
      <c r="F214" s="25"/>
    </row>
    <row r="215" spans="1:6" ht="15.75" thickBot="1" x14ac:dyDescent="0.3">
      <c r="A215" s="25"/>
      <c r="B215" s="53" t="s">
        <v>27</v>
      </c>
      <c r="C215" s="54"/>
      <c r="D215" s="28"/>
      <c r="E215" s="29">
        <f>SUM(Caixa[Valor])</f>
        <v>100364.8</v>
      </c>
    </row>
    <row r="216" spans="1:6" ht="15.75" thickTop="1" x14ac:dyDescent="0.25">
      <c r="A216" s="25"/>
      <c r="F216" s="25"/>
    </row>
    <row r="217" spans="1:6" x14ac:dyDescent="0.25">
      <c r="A217" s="25"/>
      <c r="F217" s="25"/>
    </row>
    <row r="218" spans="1:6" x14ac:dyDescent="0.25">
      <c r="A218" s="25"/>
      <c r="F218" s="25"/>
    </row>
  </sheetData>
  <mergeCells count="4">
    <mergeCell ref="B215:C215"/>
    <mergeCell ref="B2:C2"/>
    <mergeCell ref="H4:I4"/>
    <mergeCell ref="G2:I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7"/>
  <sheetViews>
    <sheetView showGridLines="0" tabSelected="1" zoomScale="115" zoomScaleNormal="115" workbookViewId="0">
      <selection activeCell="I12" sqref="I12"/>
    </sheetView>
  </sheetViews>
  <sheetFormatPr defaultRowHeight="15" x14ac:dyDescent="0.25"/>
  <cols>
    <col min="1" max="1" width="2.85546875" style="31" customWidth="1"/>
    <col min="2" max="2" width="39.140625" style="31" bestFit="1" customWidth="1"/>
    <col min="3" max="3" width="50.85546875" style="31" customWidth="1"/>
    <col min="4" max="4" width="17.28515625" style="31" customWidth="1"/>
    <col min="5" max="5" width="20.7109375" style="31" customWidth="1"/>
    <col min="6" max="6" width="20" style="31" customWidth="1"/>
    <col min="7" max="16384" width="9.140625" style="31"/>
  </cols>
  <sheetData>
    <row r="2" spans="2:8" ht="20.25" x14ac:dyDescent="0.3">
      <c r="B2" s="61" t="s">
        <v>28</v>
      </c>
      <c r="C2" s="61"/>
    </row>
    <row r="3" spans="2:8" ht="7.5" customHeight="1" x14ac:dyDescent="0.25"/>
    <row r="4" spans="2:8" x14ac:dyDescent="0.25">
      <c r="B4" s="35" t="s">
        <v>29</v>
      </c>
      <c r="C4" s="35" t="s">
        <v>30</v>
      </c>
      <c r="D4" s="35" t="s">
        <v>31</v>
      </c>
      <c r="E4" s="35" t="s">
        <v>32</v>
      </c>
      <c r="F4" s="35" t="s">
        <v>33</v>
      </c>
      <c r="H4" s="64" t="s">
        <v>95</v>
      </c>
    </row>
    <row r="5" spans="2:8" x14ac:dyDescent="0.25">
      <c r="B5" s="21">
        <v>1</v>
      </c>
      <c r="C5" s="7" t="s">
        <v>50</v>
      </c>
      <c r="D5" s="8">
        <v>350</v>
      </c>
      <c r="E5" s="9">
        <v>44.96</v>
      </c>
      <c r="F5" s="9">
        <f>Produtos[[#This Row],[Preço Unitário]]*Produtos[[#This Row],[Quantidade]]</f>
        <v>15736</v>
      </c>
    </row>
    <row r="6" spans="2:8" x14ac:dyDescent="0.25">
      <c r="B6" s="21">
        <v>2</v>
      </c>
      <c r="C6" s="7" t="s">
        <v>51</v>
      </c>
      <c r="D6" s="8">
        <v>180</v>
      </c>
      <c r="E6" s="9">
        <v>218.5</v>
      </c>
      <c r="F6" s="9">
        <f>Produtos[[#This Row],[Preço Unitário]]*Produtos[[#This Row],[Quantidade]]</f>
        <v>39330</v>
      </c>
    </row>
    <row r="7" spans="2:8" x14ac:dyDescent="0.25">
      <c r="B7" s="21">
        <v>3</v>
      </c>
      <c r="C7" s="7" t="s">
        <v>52</v>
      </c>
      <c r="D7" s="8">
        <v>40</v>
      </c>
      <c r="E7" s="9">
        <v>826.34</v>
      </c>
      <c r="F7" s="9">
        <f>Produtos[[#This Row],[Preço Unitário]]*Produtos[[#This Row],[Quantidade]]</f>
        <v>33053.599999999999</v>
      </c>
    </row>
    <row r="8" spans="2:8" x14ac:dyDescent="0.25">
      <c r="B8" s="21">
        <v>4</v>
      </c>
      <c r="C8" s="7" t="s">
        <v>53</v>
      </c>
      <c r="D8" s="8">
        <v>260</v>
      </c>
      <c r="E8" s="9">
        <v>33.9</v>
      </c>
      <c r="F8" s="9">
        <f>Produtos[[#This Row],[Preço Unitário]]*Produtos[[#This Row],[Quantidade]]</f>
        <v>8814</v>
      </c>
    </row>
    <row r="9" spans="2:8" x14ac:dyDescent="0.25">
      <c r="B9" s="21">
        <v>5</v>
      </c>
      <c r="C9" s="7" t="s">
        <v>54</v>
      </c>
      <c r="D9" s="8">
        <v>260</v>
      </c>
      <c r="E9" s="9">
        <v>37.549999999999997</v>
      </c>
      <c r="F9" s="9">
        <f>Produtos[[#This Row],[Preço Unitário]]*Produtos[[#This Row],[Quantidade]]</f>
        <v>9763</v>
      </c>
    </row>
    <row r="10" spans="2:8" x14ac:dyDescent="0.25">
      <c r="B10" s="21">
        <v>6</v>
      </c>
      <c r="C10" s="7" t="s">
        <v>55</v>
      </c>
      <c r="D10" s="8">
        <v>120</v>
      </c>
      <c r="E10" s="9">
        <v>74.930000000000007</v>
      </c>
      <c r="F10" s="9">
        <f>Produtos[[#This Row],[Preço Unitário]]*Produtos[[#This Row],[Quantidade]]</f>
        <v>8991.6</v>
      </c>
    </row>
    <row r="11" spans="2:8" x14ac:dyDescent="0.25">
      <c r="B11" s="21">
        <v>7</v>
      </c>
      <c r="C11" s="7" t="s">
        <v>56</v>
      </c>
      <c r="D11" s="8">
        <v>90</v>
      </c>
      <c r="E11" s="9">
        <v>40.159999999999997</v>
      </c>
      <c r="F11" s="9">
        <f>Produtos[[#This Row],[Preço Unitário]]*Produtos[[#This Row],[Quantidade]]</f>
        <v>3614.3999999999996</v>
      </c>
    </row>
    <row r="12" spans="2:8" x14ac:dyDescent="0.25">
      <c r="B12" s="21">
        <v>8</v>
      </c>
      <c r="C12" s="7" t="s">
        <v>57</v>
      </c>
      <c r="D12" s="8">
        <v>60</v>
      </c>
      <c r="E12" s="9">
        <v>170.19</v>
      </c>
      <c r="F12" s="9">
        <f>Produtos[[#This Row],[Preço Unitário]]*Produtos[[#This Row],[Quantidade]]</f>
        <v>10211.4</v>
      </c>
    </row>
    <row r="13" spans="2:8" x14ac:dyDescent="0.25">
      <c r="B13" s="21">
        <v>9</v>
      </c>
      <c r="C13" s="7" t="s">
        <v>58</v>
      </c>
      <c r="D13" s="8">
        <v>40</v>
      </c>
      <c r="E13" s="9">
        <v>64.23</v>
      </c>
      <c r="F13" s="9">
        <f>Produtos[[#This Row],[Preço Unitário]]*Produtos[[#This Row],[Quantidade]]</f>
        <v>2569.2000000000003</v>
      </c>
    </row>
    <row r="14" spans="2:8" x14ac:dyDescent="0.25">
      <c r="B14" s="21">
        <v>10</v>
      </c>
      <c r="C14" s="7" t="s">
        <v>59</v>
      </c>
      <c r="D14" s="8">
        <v>20</v>
      </c>
      <c r="E14" s="9">
        <v>94.26</v>
      </c>
      <c r="F14" s="9">
        <f>Produtos[[#This Row],[Preço Unitário]]*Produtos[[#This Row],[Quantidade]]</f>
        <v>1885.2</v>
      </c>
    </row>
    <row r="15" spans="2:8" x14ac:dyDescent="0.25">
      <c r="B15" s="21">
        <v>11</v>
      </c>
      <c r="C15" s="7" t="s">
        <v>60</v>
      </c>
      <c r="D15" s="8">
        <v>15</v>
      </c>
      <c r="E15" s="9">
        <v>2479.16</v>
      </c>
      <c r="F15" s="9">
        <f>Produtos[[#This Row],[Preço Unitário]]*Produtos[[#This Row],[Quantidade]]</f>
        <v>37187.399999999994</v>
      </c>
    </row>
    <row r="16" spans="2:8" x14ac:dyDescent="0.25">
      <c r="B16" s="21">
        <v>12</v>
      </c>
      <c r="C16" s="7" t="s">
        <v>61</v>
      </c>
      <c r="D16" s="8">
        <v>25</v>
      </c>
      <c r="E16" s="9">
        <v>1150</v>
      </c>
      <c r="F16" s="9">
        <f>Produtos[[#This Row],[Preço Unitário]]*Produtos[[#This Row],[Quantidade]]</f>
        <v>28750</v>
      </c>
    </row>
    <row r="17" spans="2:6" x14ac:dyDescent="0.25">
      <c r="B17" s="21">
        <v>13</v>
      </c>
      <c r="C17" s="7" t="s">
        <v>62</v>
      </c>
      <c r="D17" s="8">
        <v>110</v>
      </c>
      <c r="E17" s="9">
        <v>164.55</v>
      </c>
      <c r="F17" s="9">
        <f>Produtos[[#This Row],[Preço Unitário]]*Produtos[[#This Row],[Quantidade]]</f>
        <v>18100.5</v>
      </c>
    </row>
    <row r="18" spans="2:6" x14ac:dyDescent="0.25">
      <c r="B18" s="21">
        <v>14</v>
      </c>
      <c r="C18" s="7" t="s">
        <v>63</v>
      </c>
      <c r="D18" s="8">
        <v>300</v>
      </c>
      <c r="E18" s="9">
        <v>38</v>
      </c>
      <c r="F18" s="9">
        <f>Produtos[[#This Row],[Preço Unitário]]*Produtos[[#This Row],[Quantidade]]</f>
        <v>11400</v>
      </c>
    </row>
    <row r="19" spans="2:6" x14ac:dyDescent="0.25">
      <c r="B19" s="21">
        <v>15</v>
      </c>
      <c r="C19" s="7" t="s">
        <v>64</v>
      </c>
      <c r="D19" s="8">
        <v>400</v>
      </c>
      <c r="E19" s="9">
        <v>60.79</v>
      </c>
      <c r="F19" s="9">
        <f>Produtos[[#This Row],[Preço Unitário]]*Produtos[[#This Row],[Quantidade]]</f>
        <v>24316</v>
      </c>
    </row>
    <row r="20" spans="2:6" x14ac:dyDescent="0.25">
      <c r="B20" s="21">
        <v>16</v>
      </c>
      <c r="C20" s="7" t="s">
        <v>65</v>
      </c>
      <c r="D20" s="8">
        <v>80</v>
      </c>
      <c r="E20" s="9">
        <v>185</v>
      </c>
      <c r="F20" s="9">
        <f>Produtos[[#This Row],[Preço Unitário]]*Produtos[[#This Row],[Quantidade]]</f>
        <v>14800</v>
      </c>
    </row>
    <row r="21" spans="2:6" x14ac:dyDescent="0.25">
      <c r="B21" s="21">
        <v>17</v>
      </c>
      <c r="C21" s="7" t="s">
        <v>66</v>
      </c>
      <c r="D21" s="8">
        <v>70</v>
      </c>
      <c r="E21" s="9">
        <v>320</v>
      </c>
      <c r="F21" s="9">
        <f>Produtos[[#This Row],[Preço Unitário]]*Produtos[[#This Row],[Quantidade]]</f>
        <v>22400</v>
      </c>
    </row>
    <row r="22" spans="2:6" x14ac:dyDescent="0.25">
      <c r="B22" s="21">
        <v>18</v>
      </c>
      <c r="C22" s="7" t="s">
        <v>67</v>
      </c>
      <c r="D22" s="8">
        <v>100</v>
      </c>
      <c r="E22" s="9">
        <v>209.45</v>
      </c>
      <c r="F22" s="9">
        <f>Produtos[[#This Row],[Preço Unitário]]*Produtos[[#This Row],[Quantidade]]</f>
        <v>20945</v>
      </c>
    </row>
    <row r="23" spans="2:6" x14ac:dyDescent="0.25">
      <c r="B23" s="21">
        <v>19</v>
      </c>
      <c r="C23" s="7" t="s">
        <v>68</v>
      </c>
      <c r="D23" s="8">
        <v>150</v>
      </c>
      <c r="E23" s="9">
        <v>145</v>
      </c>
      <c r="F23" s="9">
        <f>Produtos[[#This Row],[Preço Unitário]]*Produtos[[#This Row],[Quantidade]]</f>
        <v>21750</v>
      </c>
    </row>
    <row r="24" spans="2:6" x14ac:dyDescent="0.25">
      <c r="B24" s="21">
        <v>20</v>
      </c>
      <c r="C24" s="7" t="s">
        <v>69</v>
      </c>
      <c r="D24" s="8">
        <v>35</v>
      </c>
      <c r="E24" s="9">
        <v>680</v>
      </c>
      <c r="F24" s="9">
        <f>Produtos[[#This Row],[Preço Unitário]]*Produtos[[#This Row],[Quantidade]]</f>
        <v>23800</v>
      </c>
    </row>
    <row r="25" spans="2:6" x14ac:dyDescent="0.25">
      <c r="B25" s="21">
        <v>21</v>
      </c>
      <c r="C25" s="7" t="s">
        <v>70</v>
      </c>
      <c r="D25" s="8">
        <v>65</v>
      </c>
      <c r="E25" s="9">
        <v>194.6</v>
      </c>
      <c r="F25" s="9">
        <f>Produtos[[#This Row],[Preço Unitário]]*Produtos[[#This Row],[Quantidade]]</f>
        <v>12649</v>
      </c>
    </row>
    <row r="26" spans="2:6" x14ac:dyDescent="0.25">
      <c r="B26" s="21">
        <v>22</v>
      </c>
      <c r="C26" s="7" t="s">
        <v>71</v>
      </c>
      <c r="D26" s="8">
        <v>30</v>
      </c>
      <c r="E26" s="9">
        <v>886.13</v>
      </c>
      <c r="F26" s="9">
        <f>Produtos[[#This Row],[Preço Unitário]]*Produtos[[#This Row],[Quantidade]]</f>
        <v>26583.9</v>
      </c>
    </row>
    <row r="27" spans="2:6" x14ac:dyDescent="0.25">
      <c r="B27" s="21">
        <v>23</v>
      </c>
      <c r="C27" s="7" t="s">
        <v>72</v>
      </c>
      <c r="D27" s="8">
        <v>95</v>
      </c>
      <c r="E27" s="9">
        <v>106.72</v>
      </c>
      <c r="F27" s="9">
        <f>Produtos[[#This Row],[Preço Unitário]]*Produtos[[#This Row],[Quantidade]]</f>
        <v>10138.4</v>
      </c>
    </row>
    <row r="28" spans="2:6" x14ac:dyDescent="0.25">
      <c r="B28" s="21">
        <v>24</v>
      </c>
      <c r="C28" s="7" t="s">
        <v>73</v>
      </c>
      <c r="D28" s="8">
        <v>40</v>
      </c>
      <c r="E28" s="9">
        <v>447.38</v>
      </c>
      <c r="F28" s="9">
        <f>Produtos[[#This Row],[Preço Unitário]]*Produtos[[#This Row],[Quantidade]]</f>
        <v>17895.2</v>
      </c>
    </row>
    <row r="29" spans="2:6" x14ac:dyDescent="0.25">
      <c r="B29" s="21">
        <v>25</v>
      </c>
      <c r="C29" s="7" t="s">
        <v>74</v>
      </c>
      <c r="D29" s="8">
        <v>500</v>
      </c>
      <c r="E29" s="9">
        <v>32</v>
      </c>
      <c r="F29" s="9">
        <f>Produtos[[#This Row],[Preço Unitário]]*Produtos[[#This Row],[Quantidade]]</f>
        <v>16000</v>
      </c>
    </row>
    <row r="30" spans="2:6" x14ac:dyDescent="0.25">
      <c r="B30" s="21">
        <v>26</v>
      </c>
      <c r="C30" s="7" t="s">
        <v>75</v>
      </c>
      <c r="D30" s="8">
        <v>350</v>
      </c>
      <c r="E30" s="9">
        <v>48</v>
      </c>
      <c r="F30" s="9">
        <f>Produtos[[#This Row],[Preço Unitário]]*Produtos[[#This Row],[Quantidade]]</f>
        <v>16800</v>
      </c>
    </row>
    <row r="31" spans="2:6" x14ac:dyDescent="0.25">
      <c r="B31" s="21">
        <v>27</v>
      </c>
      <c r="C31" s="7" t="s">
        <v>76</v>
      </c>
      <c r="D31" s="8">
        <v>85</v>
      </c>
      <c r="E31" s="9">
        <v>177.93</v>
      </c>
      <c r="F31" s="9">
        <f>Produtos[[#This Row],[Preço Unitário]]*Produtos[[#This Row],[Quantidade]]</f>
        <v>15124.050000000001</v>
      </c>
    </row>
    <row r="32" spans="2:6" x14ac:dyDescent="0.25">
      <c r="B32" s="21">
        <v>28</v>
      </c>
      <c r="C32" s="7" t="s">
        <v>77</v>
      </c>
      <c r="D32" s="8">
        <v>140</v>
      </c>
      <c r="E32" s="9">
        <v>85</v>
      </c>
      <c r="F32" s="9">
        <f>Produtos[[#This Row],[Preço Unitário]]*Produtos[[#This Row],[Quantidade]]</f>
        <v>11900</v>
      </c>
    </row>
    <row r="33" spans="2:6" x14ac:dyDescent="0.25">
      <c r="B33" s="21">
        <v>29</v>
      </c>
      <c r="C33" s="7" t="s">
        <v>78</v>
      </c>
      <c r="D33" s="8">
        <v>130</v>
      </c>
      <c r="E33" s="9">
        <v>78</v>
      </c>
      <c r="F33" s="9">
        <f>Produtos[[#This Row],[Preço Unitário]]*Produtos[[#This Row],[Quantidade]]</f>
        <v>10140</v>
      </c>
    </row>
    <row r="34" spans="2:6" x14ac:dyDescent="0.25">
      <c r="B34" s="21">
        <v>30</v>
      </c>
      <c r="C34" s="7" t="s">
        <v>79</v>
      </c>
      <c r="D34" s="8">
        <v>50</v>
      </c>
      <c r="E34" s="9">
        <v>260</v>
      </c>
      <c r="F34" s="9">
        <f>Produtos[[#This Row],[Preço Unitário]]*Produtos[[#This Row],[Quantidade]]</f>
        <v>13000</v>
      </c>
    </row>
    <row r="35" spans="2:6" ht="15.75" thickBot="1" x14ac:dyDescent="0.3">
      <c r="B35" s="59" t="s">
        <v>34</v>
      </c>
      <c r="C35" s="60"/>
      <c r="D35" s="33">
        <f>SUM(Produtos[Quantidade])</f>
        <v>4190</v>
      </c>
      <c r="E35" s="38"/>
      <c r="F35" s="34">
        <f>SUM(Produtos[Valor Total])</f>
        <v>507647.85000000009</v>
      </c>
    </row>
    <row r="36" spans="2:6" ht="15.75" thickTop="1" x14ac:dyDescent="0.25"/>
    <row r="37" spans="2:6" x14ac:dyDescent="0.25">
      <c r="B37" s="32"/>
    </row>
  </sheetData>
  <mergeCells count="2">
    <mergeCell ref="B35:C35"/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9"/>
  <sheetViews>
    <sheetView showGridLines="0" zoomScale="115" zoomScaleNormal="115" workbookViewId="0">
      <selection activeCell="B2" sqref="B2:C2"/>
    </sheetView>
  </sheetViews>
  <sheetFormatPr defaultRowHeight="15" x14ac:dyDescent="0.25"/>
  <cols>
    <col min="1" max="1" width="2.85546875" style="36" customWidth="1"/>
    <col min="2" max="2" width="20.7109375" style="36" customWidth="1"/>
    <col min="3" max="3" width="38.140625" style="36" customWidth="1"/>
    <col min="4" max="4" width="23.140625" style="36" bestFit="1" customWidth="1"/>
    <col min="5" max="5" width="23.5703125" style="36" customWidth="1"/>
    <col min="6" max="6" width="18.42578125" style="36" customWidth="1"/>
    <col min="7" max="16384" width="9.140625" style="36"/>
  </cols>
  <sheetData>
    <row r="2" spans="2:6" ht="20.25" x14ac:dyDescent="0.3">
      <c r="B2" s="62" t="s">
        <v>35</v>
      </c>
      <c r="C2" s="62"/>
    </row>
    <row r="3" spans="2:6" ht="7.5" customHeight="1" x14ac:dyDescent="0.25"/>
    <row r="4" spans="2:6" x14ac:dyDescent="0.25">
      <c r="B4" s="37" t="s">
        <v>36</v>
      </c>
      <c r="C4" s="37" t="s">
        <v>37</v>
      </c>
      <c r="D4" s="37" t="s">
        <v>38</v>
      </c>
      <c r="E4" s="37" t="s">
        <v>39</v>
      </c>
      <c r="F4" s="37" t="s">
        <v>40</v>
      </c>
    </row>
    <row r="5" spans="2:6" x14ac:dyDescent="0.25">
      <c r="B5" s="19">
        <v>1</v>
      </c>
      <c r="C5" s="2" t="s">
        <v>41</v>
      </c>
      <c r="D5" s="1" t="s">
        <v>42</v>
      </c>
      <c r="E5" s="45">
        <v>46032</v>
      </c>
      <c r="F5" s="1" t="s">
        <v>43</v>
      </c>
    </row>
    <row r="6" spans="2:6" x14ac:dyDescent="0.25">
      <c r="B6" s="19">
        <v>2</v>
      </c>
      <c r="C6" s="2" t="s">
        <v>44</v>
      </c>
      <c r="D6" s="1" t="s">
        <v>45</v>
      </c>
      <c r="E6" s="45">
        <v>46096</v>
      </c>
      <c r="F6" s="1" t="s">
        <v>46</v>
      </c>
    </row>
    <row r="7" spans="2:6" x14ac:dyDescent="0.25">
      <c r="B7" s="19">
        <v>3</v>
      </c>
      <c r="C7" s="2" t="s">
        <v>47</v>
      </c>
      <c r="D7" s="1" t="s">
        <v>48</v>
      </c>
      <c r="E7" s="45">
        <v>46162</v>
      </c>
      <c r="F7" s="1" t="s">
        <v>43</v>
      </c>
    </row>
    <row r="8" spans="2:6" x14ac:dyDescent="0.25">
      <c r="B8" s="19">
        <v>4</v>
      </c>
      <c r="C8" s="2" t="s">
        <v>49</v>
      </c>
      <c r="D8" s="1" t="s">
        <v>42</v>
      </c>
      <c r="E8" s="45">
        <v>46174</v>
      </c>
      <c r="F8" s="1" t="s">
        <v>46</v>
      </c>
    </row>
    <row r="9" spans="2:6" x14ac:dyDescent="0.25">
      <c r="B9" s="19">
        <v>5</v>
      </c>
      <c r="C9" s="2" t="s">
        <v>80</v>
      </c>
      <c r="D9" s="1" t="s">
        <v>81</v>
      </c>
      <c r="E9" s="45">
        <v>46178</v>
      </c>
      <c r="F9" s="1" t="s">
        <v>46</v>
      </c>
    </row>
    <row r="10" spans="2:6" x14ac:dyDescent="0.25">
      <c r="B10" s="19">
        <v>6</v>
      </c>
      <c r="C10" s="2" t="s">
        <v>82</v>
      </c>
      <c r="D10" s="1" t="s">
        <v>45</v>
      </c>
      <c r="E10" s="45">
        <v>46183</v>
      </c>
      <c r="F10" s="1" t="s">
        <v>46</v>
      </c>
    </row>
    <row r="11" spans="2:6" x14ac:dyDescent="0.25">
      <c r="B11" s="19">
        <v>7</v>
      </c>
      <c r="C11" s="2" t="s">
        <v>83</v>
      </c>
      <c r="D11" s="1" t="s">
        <v>84</v>
      </c>
      <c r="E11" s="45">
        <v>46188</v>
      </c>
      <c r="F11" s="1" t="s">
        <v>46</v>
      </c>
    </row>
    <row r="12" spans="2:6" x14ac:dyDescent="0.25">
      <c r="B12" s="19">
        <v>8</v>
      </c>
      <c r="C12" s="2" t="s">
        <v>85</v>
      </c>
      <c r="D12" s="1" t="s">
        <v>84</v>
      </c>
      <c r="E12" s="45">
        <v>46193</v>
      </c>
      <c r="F12" s="1" t="s">
        <v>46</v>
      </c>
    </row>
    <row r="13" spans="2:6" x14ac:dyDescent="0.25">
      <c r="B13" s="19">
        <v>9</v>
      </c>
      <c r="C13" s="2" t="s">
        <v>86</v>
      </c>
      <c r="D13" s="1" t="s">
        <v>84</v>
      </c>
      <c r="E13" s="45">
        <v>46198</v>
      </c>
      <c r="F13" s="1" t="s">
        <v>43</v>
      </c>
    </row>
    <row r="14" spans="2:6" x14ac:dyDescent="0.25">
      <c r="B14" s="19">
        <v>10</v>
      </c>
      <c r="C14" s="2" t="s">
        <v>87</v>
      </c>
      <c r="D14" s="1" t="s">
        <v>88</v>
      </c>
      <c r="E14" s="45">
        <v>46210</v>
      </c>
      <c r="F14" s="1" t="s">
        <v>43</v>
      </c>
    </row>
    <row r="15" spans="2:6" x14ac:dyDescent="0.25">
      <c r="B15" s="19">
        <v>11</v>
      </c>
      <c r="C15" s="2" t="s">
        <v>89</v>
      </c>
      <c r="D15" s="1" t="s">
        <v>90</v>
      </c>
      <c r="E15" s="45">
        <v>46215</v>
      </c>
      <c r="F15" s="1" t="s">
        <v>46</v>
      </c>
    </row>
    <row r="16" spans="2:6" x14ac:dyDescent="0.25">
      <c r="B16" s="19">
        <v>12</v>
      </c>
      <c r="C16" s="2" t="s">
        <v>91</v>
      </c>
      <c r="D16" s="1" t="s">
        <v>90</v>
      </c>
      <c r="E16" s="45">
        <v>46221</v>
      </c>
      <c r="F16" s="1" t="s">
        <v>43</v>
      </c>
    </row>
    <row r="17" spans="2:6" x14ac:dyDescent="0.25">
      <c r="B17" s="19">
        <v>13</v>
      </c>
      <c r="C17" s="2" t="s">
        <v>92</v>
      </c>
      <c r="D17" s="1" t="s">
        <v>84</v>
      </c>
      <c r="E17" s="45">
        <v>46225</v>
      </c>
      <c r="F17" s="1" t="s">
        <v>46</v>
      </c>
    </row>
    <row r="18" spans="2:6" x14ac:dyDescent="0.25">
      <c r="B18" s="19">
        <v>14</v>
      </c>
      <c r="C18" s="2" t="s">
        <v>93</v>
      </c>
      <c r="D18" s="1" t="s">
        <v>42</v>
      </c>
      <c r="E18" s="45">
        <v>46235</v>
      </c>
      <c r="F18" s="1" t="s">
        <v>46</v>
      </c>
    </row>
    <row r="19" spans="2:6" x14ac:dyDescent="0.25">
      <c r="B19" s="19">
        <v>15</v>
      </c>
      <c r="C19" s="2" t="s">
        <v>94</v>
      </c>
      <c r="D19" s="1" t="s">
        <v>88</v>
      </c>
      <c r="E19" s="45">
        <v>46239</v>
      </c>
      <c r="F19" s="1" t="s">
        <v>46</v>
      </c>
    </row>
  </sheetData>
  <mergeCells count="1">
    <mergeCell ref="B2:C2"/>
  </mergeCells>
  <conditionalFormatting sqref="F5:F19">
    <cfRule type="cellIs" dxfId="4" priority="1" operator="equal">
      <formula>"Pendente"</formula>
    </cfRule>
    <cfRule type="cellIs" dxfId="3" priority="2" operator="equal">
      <formula>"Concluído"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Financeiro</vt:lpstr>
      <vt:lpstr>Estoque</vt:lpstr>
      <vt:lpstr>Documentação</vt:lpstr>
    </vt:vector>
  </TitlesOfParts>
  <Manager/>
  <Company>SENAC DRSE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LABTEMP-01</dc:creator>
  <cp:keywords/>
  <dc:description/>
  <cp:lastModifiedBy>Augusto Félix</cp:lastModifiedBy>
  <cp:revision/>
  <dcterms:created xsi:type="dcterms:W3CDTF">2026-07-09T11:54:49Z</dcterms:created>
  <dcterms:modified xsi:type="dcterms:W3CDTF">2026-08-12T02:51:38Z</dcterms:modified>
  <cp:category/>
  <cp:contentStatus/>
</cp:coreProperties>
</file>